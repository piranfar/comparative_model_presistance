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ARVINDER KAUR\OneDrive\Documents\parvinder backup\svj_LaptopBackup_Parvinder_25012022\Personal\svj_LenovoData_29082020\NEW_PKA_22052017\Apramycin_Sven_NTM_13092021\svj_Apramycin_Review_190624\"/>
    </mc:Choice>
  </mc:AlternateContent>
  <xr:revisionPtr revIDLastSave="0" documentId="13_ncr:1_{C20F4EFB-91A5-4EB3-A403-3FAA868A94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ill kinetics" sheetId="1" r:id="rId1"/>
    <sheet name="Intracellular efficacy" sheetId="2" r:id="rId2"/>
    <sheet name="Biofilm 1" sheetId="3" r:id="rId3"/>
    <sheet name="Biofilm 2" sheetId="4" r:id="rId4"/>
    <sheet name="In-viv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  <c r="I27" i="4" s="1"/>
  <c r="H26" i="2"/>
  <c r="I26" i="2" s="1"/>
  <c r="H20" i="2"/>
  <c r="I20" i="2" s="1"/>
  <c r="I6" i="2"/>
  <c r="H7" i="2"/>
  <c r="H4" i="2"/>
  <c r="H11" i="2"/>
  <c r="H10" i="2"/>
  <c r="H9" i="2"/>
  <c r="H8" i="2"/>
  <c r="H6" i="2"/>
  <c r="H33" i="1"/>
  <c r="H28" i="1"/>
  <c r="I28" i="1" s="1"/>
  <c r="I30" i="4"/>
  <c r="H29" i="4"/>
  <c r="H28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I14" i="4" s="1"/>
  <c r="H13" i="4"/>
  <c r="H12" i="4"/>
  <c r="H11" i="4"/>
  <c r="H10" i="4"/>
  <c r="H9" i="4"/>
  <c r="H8" i="4"/>
  <c r="H7" i="4"/>
  <c r="H6" i="4"/>
  <c r="I7" i="4" l="1"/>
  <c r="I29" i="4"/>
  <c r="I22" i="4"/>
  <c r="I21" i="4"/>
  <c r="I13" i="4"/>
  <c r="I28" i="4"/>
  <c r="I20" i="4"/>
  <c r="I12" i="4"/>
  <c r="I19" i="4"/>
  <c r="I11" i="4"/>
  <c r="I26" i="4"/>
  <c r="I18" i="4"/>
  <c r="I10" i="4"/>
  <c r="I25" i="4"/>
  <c r="I17" i="4"/>
  <c r="I9" i="4"/>
  <c r="I6" i="4"/>
  <c r="I24" i="4"/>
  <c r="I16" i="4"/>
  <c r="I8" i="4"/>
  <c r="I31" i="4"/>
  <c r="I23" i="4"/>
  <c r="I15" i="4"/>
  <c r="I33" i="1" l="1"/>
  <c r="I29" i="1" l="1"/>
  <c r="I30" i="1"/>
  <c r="I31" i="1"/>
  <c r="I32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34" i="1"/>
  <c r="I35" i="1"/>
  <c r="I36" i="1"/>
  <c r="I37" i="1"/>
  <c r="I38" i="1"/>
  <c r="I6" i="1"/>
  <c r="H4" i="1"/>
</calcChain>
</file>

<file path=xl/sharedStrings.xml><?xml version="1.0" encoding="utf-8"?>
<sst xmlns="http://schemas.openxmlformats.org/spreadsheetml/2006/main" count="136" uniqueCount="43">
  <si>
    <t>Apramycin</t>
  </si>
  <si>
    <t>Amikacin</t>
  </si>
  <si>
    <t>Day 0 cell control</t>
  </si>
  <si>
    <t>Replicate-1</t>
  </si>
  <si>
    <t>Replicate-2</t>
  </si>
  <si>
    <t>Replicate-3</t>
  </si>
  <si>
    <t>Compound ID</t>
  </si>
  <si>
    <r>
      <t>Conc(</t>
    </r>
    <r>
      <rPr>
        <b/>
        <sz val="11"/>
        <color theme="1"/>
        <rFont val="Calibri"/>
        <family val="2"/>
      </rPr>
      <t>µg/mL)</t>
    </r>
  </si>
  <si>
    <t>Cell control</t>
  </si>
  <si>
    <t>Day 3</t>
  </si>
  <si>
    <t>Day 7</t>
  </si>
  <si>
    <t>Day 14</t>
  </si>
  <si>
    <t xml:space="preserve">Avg </t>
  </si>
  <si>
    <r>
      <t xml:space="preserve"> Log 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cfu drop</t>
    </r>
  </si>
  <si>
    <r>
      <t>Log</t>
    </r>
    <r>
      <rPr>
        <b/>
        <vertAlign val="subscript"/>
        <sz val="11"/>
        <color theme="1"/>
        <rFont val="Calibri"/>
        <family val="2"/>
        <scheme val="minor"/>
      </rPr>
      <t xml:space="preserve"> 10</t>
    </r>
    <r>
      <rPr>
        <b/>
        <sz val="11"/>
        <color theme="1"/>
        <rFont val="Calibri"/>
        <family val="2"/>
        <scheme val="minor"/>
      </rPr>
      <t xml:space="preserve"> cfu</t>
    </r>
  </si>
  <si>
    <r>
      <t>Rif @16</t>
    </r>
    <r>
      <rPr>
        <sz val="11"/>
        <color theme="1"/>
        <rFont val="Calibri"/>
        <family val="2"/>
      </rPr>
      <t>µg/mL</t>
    </r>
  </si>
  <si>
    <t>64X</t>
  </si>
  <si>
    <t>16X</t>
  </si>
  <si>
    <t>4X</t>
  </si>
  <si>
    <t>1X</t>
  </si>
  <si>
    <t>Rifampicin</t>
  </si>
  <si>
    <t>Isoniazid</t>
  </si>
  <si>
    <t>Bedaquiline</t>
  </si>
  <si>
    <t>Moxifloxacin</t>
  </si>
  <si>
    <t>Ethambutol</t>
  </si>
  <si>
    <t>SN</t>
  </si>
  <si>
    <t>Control</t>
  </si>
  <si>
    <t xml:space="preserve">Early </t>
  </si>
  <si>
    <t>Late</t>
  </si>
  <si>
    <r>
      <t>Conc (</t>
    </r>
    <r>
      <rPr>
        <b/>
        <sz val="11"/>
        <color theme="1"/>
        <rFont val="Calibri"/>
        <family val="2"/>
      </rPr>
      <t>X MIC)</t>
    </r>
  </si>
  <si>
    <t>Pretomanid</t>
  </si>
  <si>
    <t>Linezolid</t>
  </si>
  <si>
    <t>Group</t>
  </si>
  <si>
    <t>CFU  /Lung</t>
  </si>
  <si>
    <t>Pre Drug Control</t>
  </si>
  <si>
    <t>Post Drug Control</t>
  </si>
  <si>
    <t>HREZ</t>
  </si>
  <si>
    <t>Apramycin+HREZ</t>
  </si>
  <si>
    <t>In-vivo efficacy data of APR vs. Mtb</t>
  </si>
  <si>
    <t>In-vitro activity of APR and SoC against biofilm of Mtb</t>
  </si>
  <si>
    <t>In-vitro activity of APR &amp; BPaLM drugs against biofilm of Mtb</t>
  </si>
  <si>
    <t>Intracellular efficacy of APR vs. Mtb</t>
  </si>
  <si>
    <t>Killing kinetics of APR vs. Mtb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</si>
</sst>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" fontId="0" fillId="0" borderId="21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7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9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3" xfId="0" applyBorder="1" applyAlignment="1">
      <alignment horizontal="center"/>
    </xf>
    <xf numFmtId="2" fontId="0" fillId="0" borderId="45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2" fontId="0" fillId="0" borderId="49" xfId="0" applyNumberForma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2" fontId="0" fillId="0" borderId="52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2" fontId="0" fillId="0" borderId="53" xfId="0" applyNumberFormat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3" xfId="0" applyBorder="1" applyAlignment="1">
      <alignment horizontal="center"/>
    </xf>
    <xf numFmtId="2" fontId="0" fillId="0" borderId="55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0" borderId="55" xfId="0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56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2" fontId="0" fillId="0" borderId="0" xfId="0" applyNumberFormat="1"/>
    <xf numFmtId="2" fontId="0" fillId="0" borderId="13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vertical="center"/>
    </xf>
    <xf numFmtId="0" fontId="5" fillId="0" borderId="18" xfId="0" applyFont="1" applyBorder="1" applyAlignment="1">
      <alignment horizontal="center"/>
    </xf>
    <xf numFmtId="0" fontId="5" fillId="0" borderId="58" xfId="0" applyFont="1" applyBorder="1" applyAlignment="1">
      <alignment horizontal="center"/>
    </xf>
    <xf numFmtId="2" fontId="0" fillId="0" borderId="60" xfId="0" applyNumberFormat="1" applyBorder="1" applyAlignment="1">
      <alignment horizontal="center"/>
    </xf>
    <xf numFmtId="2" fontId="0" fillId="0" borderId="57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0" xfId="0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2" fontId="0" fillId="0" borderId="61" xfId="0" applyNumberFormat="1" applyBorder="1" applyAlignment="1">
      <alignment horizontal="center"/>
    </xf>
    <xf numFmtId="0" fontId="5" fillId="0" borderId="62" xfId="0" applyFont="1" applyBorder="1" applyAlignment="1">
      <alignment horizontal="center"/>
    </xf>
    <xf numFmtId="11" fontId="0" fillId="0" borderId="31" xfId="0" applyNumberFormat="1" applyBorder="1" applyAlignment="1">
      <alignment horizontal="center"/>
    </xf>
    <xf numFmtId="11" fontId="0" fillId="0" borderId="33" xfId="0" applyNumberFormat="1" applyBorder="1" applyAlignment="1">
      <alignment horizontal="center"/>
    </xf>
    <xf numFmtId="11" fontId="0" fillId="0" borderId="35" xfId="0" applyNumberFormat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2" fontId="0" fillId="0" borderId="58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59" xfId="0" applyNumberForma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8"/>
  <sheetViews>
    <sheetView tabSelected="1" workbookViewId="0">
      <selection activeCell="H4" sqref="H4"/>
    </sheetView>
  </sheetViews>
  <sheetFormatPr defaultRowHeight="14.5" x14ac:dyDescent="0.35"/>
  <cols>
    <col min="3" max="3" width="12.36328125" bestFit="1" customWidth="1"/>
    <col min="4" max="4" width="11.453125" bestFit="1" customWidth="1"/>
    <col min="5" max="7" width="10" bestFit="1" customWidth="1"/>
    <col min="8" max="9" width="8.7265625" style="13"/>
  </cols>
  <sheetData>
    <row r="1" spans="2:9" ht="15" thickBot="1" x14ac:dyDescent="0.4">
      <c r="B1" s="148" t="s">
        <v>42</v>
      </c>
    </row>
    <row r="2" spans="2:9" ht="17" thickBot="1" x14ac:dyDescent="0.5">
      <c r="E2" s="119" t="s">
        <v>14</v>
      </c>
      <c r="F2" s="120"/>
      <c r="G2" s="120"/>
      <c r="H2" s="121"/>
      <c r="I2" s="113" t="s">
        <v>13</v>
      </c>
    </row>
    <row r="3" spans="2:9" ht="15" thickBot="1" x14ac:dyDescent="0.4">
      <c r="E3" s="4" t="s">
        <v>3</v>
      </c>
      <c r="F3" s="5" t="s">
        <v>4</v>
      </c>
      <c r="G3" s="6" t="s">
        <v>5</v>
      </c>
      <c r="H3" s="20" t="s">
        <v>12</v>
      </c>
      <c r="I3" s="114"/>
    </row>
    <row r="4" spans="2:9" ht="15" thickBot="1" x14ac:dyDescent="0.4">
      <c r="C4" s="102" t="s">
        <v>2</v>
      </c>
      <c r="D4" s="103"/>
      <c r="E4" s="21">
        <v>6.9637878273455556</v>
      </c>
      <c r="F4" s="9">
        <v>7.0492180226701819</v>
      </c>
      <c r="G4" s="10">
        <v>7.0334237554869494</v>
      </c>
      <c r="H4" s="60">
        <f>AVERAGE(E4:G4)</f>
        <v>7.0154765351675623</v>
      </c>
      <c r="I4" s="114"/>
    </row>
    <row r="5" spans="2:9" ht="15" thickBot="1" x14ac:dyDescent="0.4">
      <c r="C5" s="20" t="s">
        <v>6</v>
      </c>
      <c r="D5" s="20" t="s">
        <v>7</v>
      </c>
      <c r="E5" s="116"/>
      <c r="F5" s="117"/>
      <c r="G5" s="117"/>
      <c r="H5" s="118"/>
      <c r="I5" s="114"/>
    </row>
    <row r="6" spans="2:9" x14ac:dyDescent="0.35">
      <c r="B6" s="104" t="s">
        <v>9</v>
      </c>
      <c r="C6" s="125" t="s">
        <v>0</v>
      </c>
      <c r="D6" s="37">
        <v>128</v>
      </c>
      <c r="E6" s="16">
        <v>5.924279286061882</v>
      </c>
      <c r="F6" s="11">
        <v>5.94</v>
      </c>
      <c r="G6" s="48">
        <v>5.5</v>
      </c>
      <c r="H6" s="61">
        <v>5.7880930953539611</v>
      </c>
      <c r="I6" s="56">
        <f>$H$4-H6</f>
        <v>1.2273834398136012</v>
      </c>
    </row>
    <row r="7" spans="2:9" x14ac:dyDescent="0.35">
      <c r="B7" s="105"/>
      <c r="C7" s="100"/>
      <c r="D7" s="38">
        <v>32</v>
      </c>
      <c r="E7" s="17">
        <v>5.8</v>
      </c>
      <c r="F7" s="2">
        <v>6.2</v>
      </c>
      <c r="G7" s="49">
        <v>6.0334237554869494</v>
      </c>
      <c r="H7" s="62">
        <v>6.0111412518289837</v>
      </c>
      <c r="I7" s="57">
        <f t="shared" ref="I7:I38" si="0">$H$4-H7</f>
        <v>1.0043352833385786</v>
      </c>
    </row>
    <row r="8" spans="2:9" x14ac:dyDescent="0.35">
      <c r="B8" s="105"/>
      <c r="C8" s="100"/>
      <c r="D8" s="38">
        <v>8</v>
      </c>
      <c r="E8" s="17">
        <v>6.4771212547196626</v>
      </c>
      <c r="F8" s="2">
        <v>6.510545010206612</v>
      </c>
      <c r="G8" s="49">
        <v>6.5158738437116792</v>
      </c>
      <c r="H8" s="62">
        <v>6.5011800362126522</v>
      </c>
      <c r="I8" s="57">
        <f t="shared" si="0"/>
        <v>0.51429649895491014</v>
      </c>
    </row>
    <row r="9" spans="2:9" x14ac:dyDescent="0.35">
      <c r="B9" s="105"/>
      <c r="C9" s="100"/>
      <c r="D9" s="38">
        <v>4</v>
      </c>
      <c r="E9" s="17">
        <v>6.924279286061882</v>
      </c>
      <c r="F9" s="2">
        <v>6.8573324964312681</v>
      </c>
      <c r="G9" s="49">
        <v>6.1</v>
      </c>
      <c r="H9" s="62">
        <v>6.6272039274977175</v>
      </c>
      <c r="I9" s="57">
        <f t="shared" si="0"/>
        <v>0.38827260766984484</v>
      </c>
    </row>
    <row r="10" spans="2:9" ht="15" thickBot="1" x14ac:dyDescent="0.4">
      <c r="B10" s="105"/>
      <c r="C10" s="101"/>
      <c r="D10" s="39">
        <v>1</v>
      </c>
      <c r="E10" s="25">
        <v>7.35</v>
      </c>
      <c r="F10" s="24">
        <v>7.11</v>
      </c>
      <c r="G10" s="50">
        <v>7.55</v>
      </c>
      <c r="H10" s="63">
        <v>7.3366666666666669</v>
      </c>
      <c r="I10" s="58">
        <f t="shared" si="0"/>
        <v>-0.32119013149910458</v>
      </c>
    </row>
    <row r="11" spans="2:9" x14ac:dyDescent="0.35">
      <c r="B11" s="105"/>
      <c r="C11" s="99" t="s">
        <v>1</v>
      </c>
      <c r="D11" s="40">
        <v>128</v>
      </c>
      <c r="E11" s="41">
        <v>5.85</v>
      </c>
      <c r="F11" s="7">
        <v>5.78</v>
      </c>
      <c r="G11" s="51">
        <v>6.1</v>
      </c>
      <c r="H11" s="61">
        <v>5.9099999999999993</v>
      </c>
      <c r="I11" s="56">
        <f t="shared" si="0"/>
        <v>1.1054765351675631</v>
      </c>
    </row>
    <row r="12" spans="2:9" x14ac:dyDescent="0.35">
      <c r="B12" s="105"/>
      <c r="C12" s="100"/>
      <c r="D12" s="38">
        <v>32</v>
      </c>
      <c r="E12" s="17">
        <v>6.0492180226701819</v>
      </c>
      <c r="F12" s="2">
        <v>6.0934216851622347</v>
      </c>
      <c r="G12" s="49">
        <v>6.0170333392987807</v>
      </c>
      <c r="H12" s="62">
        <v>6.0532243490437319</v>
      </c>
      <c r="I12" s="57">
        <f t="shared" si="0"/>
        <v>0.96225218612383046</v>
      </c>
    </row>
    <row r="13" spans="2:9" x14ac:dyDescent="0.35">
      <c r="B13" s="105"/>
      <c r="C13" s="100"/>
      <c r="D13" s="38">
        <v>8</v>
      </c>
      <c r="E13" s="17">
        <v>6.1461280356782382</v>
      </c>
      <c r="F13" s="2">
        <v>6.1818435879447726</v>
      </c>
      <c r="G13" s="49">
        <v>6.1702617153949575</v>
      </c>
      <c r="H13" s="62">
        <v>6.1660777796726558</v>
      </c>
      <c r="I13" s="57">
        <f t="shared" si="0"/>
        <v>0.84939875549490651</v>
      </c>
    </row>
    <row r="14" spans="2:9" x14ac:dyDescent="0.35">
      <c r="B14" s="105"/>
      <c r="C14" s="100"/>
      <c r="D14" s="38">
        <v>4</v>
      </c>
      <c r="E14" s="17">
        <v>6.2253092817258633</v>
      </c>
      <c r="F14" s="2">
        <v>6.2355284469075487</v>
      </c>
      <c r="G14" s="49">
        <v>6.2741578492636796</v>
      </c>
      <c r="H14" s="62">
        <v>6.2449985259656975</v>
      </c>
      <c r="I14" s="57">
        <f t="shared" si="0"/>
        <v>0.77047800920186482</v>
      </c>
    </row>
    <row r="15" spans="2:9" ht="15" thickBot="1" x14ac:dyDescent="0.4">
      <c r="B15" s="105"/>
      <c r="C15" s="101"/>
      <c r="D15" s="39">
        <v>1</v>
      </c>
      <c r="E15" s="19">
        <v>7.35</v>
      </c>
      <c r="F15" s="12">
        <v>6.95</v>
      </c>
      <c r="G15" s="52">
        <v>7.7</v>
      </c>
      <c r="H15" s="63">
        <v>7.333333333333333</v>
      </c>
      <c r="I15" s="65">
        <f t="shared" si="0"/>
        <v>-0.31785679816577073</v>
      </c>
    </row>
    <row r="16" spans="2:9" ht="15" thickBot="1" x14ac:dyDescent="0.4">
      <c r="B16" s="106"/>
      <c r="C16" s="102" t="s">
        <v>8</v>
      </c>
      <c r="D16" s="103"/>
      <c r="E16" s="21">
        <v>7.6</v>
      </c>
      <c r="F16" s="9">
        <v>7.8325089127062366</v>
      </c>
      <c r="G16" s="53">
        <v>8</v>
      </c>
      <c r="H16" s="36">
        <v>7.8108363042354121</v>
      </c>
      <c r="I16" s="60">
        <f t="shared" si="0"/>
        <v>-0.79535976906784978</v>
      </c>
    </row>
    <row r="17" spans="2:9" x14ac:dyDescent="0.35">
      <c r="B17" s="113" t="s">
        <v>10</v>
      </c>
      <c r="C17" s="107" t="s">
        <v>0</v>
      </c>
      <c r="D17" s="26">
        <v>128</v>
      </c>
      <c r="E17" s="16">
        <v>3.9</v>
      </c>
      <c r="F17" s="11">
        <v>3.8</v>
      </c>
      <c r="G17" s="48">
        <v>3.4</v>
      </c>
      <c r="H17" s="64">
        <v>3.6999999999999997</v>
      </c>
      <c r="I17" s="56">
        <f t="shared" si="0"/>
        <v>3.3154765351675626</v>
      </c>
    </row>
    <row r="18" spans="2:9" x14ac:dyDescent="0.35">
      <c r="B18" s="114"/>
      <c r="C18" s="108"/>
      <c r="D18" s="27">
        <v>32</v>
      </c>
      <c r="E18" s="17">
        <v>4.0492180226701819</v>
      </c>
      <c r="F18" s="2">
        <v>4.0644579892269181</v>
      </c>
      <c r="G18" s="49">
        <v>4.0934216851622347</v>
      </c>
      <c r="H18" s="62">
        <v>4.0690325656864452</v>
      </c>
      <c r="I18" s="57">
        <f t="shared" si="0"/>
        <v>2.9464439694811171</v>
      </c>
    </row>
    <row r="19" spans="2:9" x14ac:dyDescent="0.35">
      <c r="B19" s="114"/>
      <c r="C19" s="108"/>
      <c r="D19" s="27">
        <v>8</v>
      </c>
      <c r="E19" s="17">
        <v>4.8</v>
      </c>
      <c r="F19" s="2">
        <v>4.7</v>
      </c>
      <c r="G19" s="49">
        <v>4.1100000000000003</v>
      </c>
      <c r="H19" s="62">
        <v>4.5366666666666662</v>
      </c>
      <c r="I19" s="57">
        <f t="shared" si="0"/>
        <v>2.4788098685008961</v>
      </c>
    </row>
    <row r="20" spans="2:9" x14ac:dyDescent="0.35">
      <c r="B20" s="114"/>
      <c r="C20" s="108"/>
      <c r="D20" s="27">
        <v>4</v>
      </c>
      <c r="E20" s="17">
        <v>5.0999999999999996</v>
      </c>
      <c r="F20" s="2">
        <v>5.45</v>
      </c>
      <c r="G20" s="49">
        <v>5.6</v>
      </c>
      <c r="H20" s="62">
        <v>5.3833333333333329</v>
      </c>
      <c r="I20" s="57">
        <f t="shared" si="0"/>
        <v>1.6321432018342295</v>
      </c>
    </row>
    <row r="21" spans="2:9" ht="15" thickBot="1" x14ac:dyDescent="0.4">
      <c r="B21" s="114"/>
      <c r="C21" s="109"/>
      <c r="D21" s="28">
        <v>1</v>
      </c>
      <c r="E21" s="25">
        <v>7.9637878273455556</v>
      </c>
      <c r="F21" s="24">
        <v>8</v>
      </c>
      <c r="G21" s="50">
        <v>7.9444826721501682</v>
      </c>
      <c r="H21" s="63">
        <v>7.9694234998319082</v>
      </c>
      <c r="I21" s="58">
        <f t="shared" si="0"/>
        <v>-0.95394696466434592</v>
      </c>
    </row>
    <row r="22" spans="2:9" x14ac:dyDescent="0.35">
      <c r="B22" s="114"/>
      <c r="C22" s="110" t="s">
        <v>1</v>
      </c>
      <c r="D22" s="42">
        <v>128</v>
      </c>
      <c r="E22" s="43">
        <v>3.55</v>
      </c>
      <c r="F22" s="3">
        <v>3.6</v>
      </c>
      <c r="G22" s="54">
        <v>3.85</v>
      </c>
      <c r="H22" s="61">
        <v>3.6666666666666665</v>
      </c>
      <c r="I22" s="56">
        <f t="shared" si="0"/>
        <v>3.3488098685008958</v>
      </c>
    </row>
    <row r="23" spans="2:9" x14ac:dyDescent="0.35">
      <c r="B23" s="114"/>
      <c r="C23" s="111"/>
      <c r="D23" s="27">
        <v>32</v>
      </c>
      <c r="E23" s="18">
        <v>3.8</v>
      </c>
      <c r="F23" s="1">
        <v>4.45</v>
      </c>
      <c r="G23" s="30">
        <v>4.7</v>
      </c>
      <c r="H23" s="62">
        <v>4.3166666666666664</v>
      </c>
      <c r="I23" s="57">
        <f t="shared" si="0"/>
        <v>2.6988098685008959</v>
      </c>
    </row>
    <row r="24" spans="2:9" x14ac:dyDescent="0.35">
      <c r="B24" s="114"/>
      <c r="C24" s="111"/>
      <c r="D24" s="27">
        <v>8</v>
      </c>
      <c r="E24" s="17">
        <v>4.7481880270062007</v>
      </c>
      <c r="F24" s="2">
        <v>4.8573324964312681</v>
      </c>
      <c r="G24" s="49">
        <v>4.8325089127062366</v>
      </c>
      <c r="H24" s="62">
        <v>4.8126764787145691</v>
      </c>
      <c r="I24" s="57">
        <f t="shared" si="0"/>
        <v>2.2028000564529933</v>
      </c>
    </row>
    <row r="25" spans="2:9" x14ac:dyDescent="0.35">
      <c r="B25" s="114"/>
      <c r="C25" s="111"/>
      <c r="D25" s="27">
        <v>4</v>
      </c>
      <c r="E25" s="18">
        <v>5.5</v>
      </c>
      <c r="F25" s="1">
        <v>5.45</v>
      </c>
      <c r="G25" s="30">
        <v>5.95</v>
      </c>
      <c r="H25" s="62">
        <v>5.6333333333333329</v>
      </c>
      <c r="I25" s="57">
        <f t="shared" si="0"/>
        <v>1.3821432018342295</v>
      </c>
    </row>
    <row r="26" spans="2:9" ht="15" thickBot="1" x14ac:dyDescent="0.4">
      <c r="B26" s="114"/>
      <c r="C26" s="112"/>
      <c r="D26" s="28">
        <v>1</v>
      </c>
      <c r="E26" s="25">
        <v>7.0492180226701819</v>
      </c>
      <c r="F26" s="24">
        <v>7.0334237554869494</v>
      </c>
      <c r="G26" s="50">
        <v>6.9444826721501682</v>
      </c>
      <c r="H26" s="63">
        <v>7.0090414834357668</v>
      </c>
      <c r="I26" s="58">
        <f t="shared" si="0"/>
        <v>6.4350517317954825E-3</v>
      </c>
    </row>
    <row r="27" spans="2:9" ht="15" thickBot="1" x14ac:dyDescent="0.4">
      <c r="B27" s="115"/>
      <c r="C27" s="102" t="s">
        <v>8</v>
      </c>
      <c r="D27" s="103"/>
      <c r="E27" s="9">
        <v>8.9444826721501691</v>
      </c>
      <c r="F27" s="9">
        <v>9.1999999999999993</v>
      </c>
      <c r="G27" s="53">
        <v>8.6999999999999993</v>
      </c>
      <c r="H27" s="36">
        <v>8.9481608907167232</v>
      </c>
      <c r="I27" s="66">
        <f t="shared" si="0"/>
        <v>-1.9326843555491608</v>
      </c>
    </row>
    <row r="28" spans="2:9" x14ac:dyDescent="0.35">
      <c r="B28" s="104" t="s">
        <v>11</v>
      </c>
      <c r="C28" s="122" t="s">
        <v>0</v>
      </c>
      <c r="D28" s="46">
        <v>128</v>
      </c>
      <c r="E28" s="31">
        <v>1.6989700043360187</v>
      </c>
      <c r="F28" s="11">
        <v>1.82</v>
      </c>
      <c r="G28" s="48">
        <v>1.92</v>
      </c>
      <c r="H28" s="64">
        <f>AVERAGE(E28:G28)</f>
        <v>1.8129900014453397</v>
      </c>
      <c r="I28" s="56">
        <f>$H$4-H28</f>
        <v>5.2024865337222224</v>
      </c>
    </row>
    <row r="29" spans="2:9" x14ac:dyDescent="0.35">
      <c r="B29" s="105"/>
      <c r="C29" s="123"/>
      <c r="D29" s="34">
        <v>32</v>
      </c>
      <c r="E29" s="32">
        <v>1.7</v>
      </c>
      <c r="F29" s="2">
        <v>2.0413926851582249</v>
      </c>
      <c r="G29" s="49">
        <v>2.4</v>
      </c>
      <c r="H29" s="62">
        <v>2.0471308950527418</v>
      </c>
      <c r="I29" s="59">
        <f t="shared" si="0"/>
        <v>4.9683456401148209</v>
      </c>
    </row>
    <row r="30" spans="2:9" x14ac:dyDescent="0.35">
      <c r="B30" s="105"/>
      <c r="C30" s="123"/>
      <c r="D30" s="34">
        <v>8</v>
      </c>
      <c r="E30" s="32">
        <v>2.255272505103306</v>
      </c>
      <c r="F30" s="2">
        <v>2.2787536009528289</v>
      </c>
      <c r="G30" s="49">
        <v>2.1760912590556813</v>
      </c>
      <c r="H30" s="62">
        <v>2.2367057883706054</v>
      </c>
      <c r="I30" s="57">
        <f t="shared" si="0"/>
        <v>4.7787707467969565</v>
      </c>
    </row>
    <row r="31" spans="2:9" x14ac:dyDescent="0.35">
      <c r="B31" s="105"/>
      <c r="C31" s="123"/>
      <c r="D31" s="34">
        <v>4</v>
      </c>
      <c r="E31" s="32">
        <v>2.5051499783199058</v>
      </c>
      <c r="F31" s="2">
        <v>2.5314789170422549</v>
      </c>
      <c r="G31" s="49">
        <v>2.5440680443502757</v>
      </c>
      <c r="H31" s="62">
        <v>2.5268989799041455</v>
      </c>
      <c r="I31" s="57">
        <f t="shared" si="0"/>
        <v>4.4885775552634168</v>
      </c>
    </row>
    <row r="32" spans="2:9" ht="15" thickBot="1" x14ac:dyDescent="0.4">
      <c r="B32" s="105"/>
      <c r="C32" s="124"/>
      <c r="D32" s="47">
        <v>1</v>
      </c>
      <c r="E32" s="33">
        <v>8.1583624920952502</v>
      </c>
      <c r="F32" s="24">
        <v>8.1931245983544621</v>
      </c>
      <c r="G32" s="50">
        <v>8.1461280356782382</v>
      </c>
      <c r="H32" s="63">
        <v>8.1658717087093162</v>
      </c>
      <c r="I32" s="58">
        <f t="shared" si="0"/>
        <v>-1.1503951735417539</v>
      </c>
    </row>
    <row r="33" spans="2:9" x14ac:dyDescent="0.35">
      <c r="B33" s="105"/>
      <c r="C33" s="99" t="s">
        <v>1</v>
      </c>
      <c r="D33" s="44">
        <v>128</v>
      </c>
      <c r="E33" s="45">
        <v>1.6020599913279623</v>
      </c>
      <c r="F33" s="3">
        <v>1.72</v>
      </c>
      <c r="G33" s="54">
        <v>1.88</v>
      </c>
      <c r="H33" s="61">
        <f>AVERAGE(E33:G33)</f>
        <v>1.7340199971093206</v>
      </c>
      <c r="I33" s="56">
        <f>$H$4-H33</f>
        <v>5.2814565380582419</v>
      </c>
    </row>
    <row r="34" spans="2:9" x14ac:dyDescent="0.35">
      <c r="B34" s="105"/>
      <c r="C34" s="100"/>
      <c r="D34" s="34">
        <v>32</v>
      </c>
      <c r="E34" s="32">
        <v>1.8450980400142569</v>
      </c>
      <c r="F34" s="2">
        <v>1.7781512503836436</v>
      </c>
      <c r="G34" s="49">
        <v>1.954242509439325</v>
      </c>
      <c r="H34" s="62">
        <v>1.8591639332790753</v>
      </c>
      <c r="I34" s="57">
        <f t="shared" si="0"/>
        <v>5.1563126018884873</v>
      </c>
    </row>
    <row r="35" spans="2:9" x14ac:dyDescent="0.35">
      <c r="B35" s="105"/>
      <c r="C35" s="100"/>
      <c r="D35" s="34">
        <v>8</v>
      </c>
      <c r="E35" s="32">
        <v>2.0791812460476247</v>
      </c>
      <c r="F35" s="2">
        <v>2.1461280356782382</v>
      </c>
      <c r="G35" s="49">
        <v>2.0413926851582249</v>
      </c>
      <c r="H35" s="62">
        <v>2.0889006556280294</v>
      </c>
      <c r="I35" s="57">
        <f t="shared" si="0"/>
        <v>4.9265758795395325</v>
      </c>
    </row>
    <row r="36" spans="2:9" x14ac:dyDescent="0.35">
      <c r="B36" s="105"/>
      <c r="C36" s="100"/>
      <c r="D36" s="34">
        <v>4</v>
      </c>
      <c r="E36" s="23">
        <v>2.15</v>
      </c>
      <c r="F36" s="1">
        <v>2.4</v>
      </c>
      <c r="G36" s="30">
        <v>2.9</v>
      </c>
      <c r="H36" s="62">
        <v>2.4833333333333329</v>
      </c>
      <c r="I36" s="57">
        <f t="shared" si="0"/>
        <v>4.5321432018342289</v>
      </c>
    </row>
    <row r="37" spans="2:9" ht="15" thickBot="1" x14ac:dyDescent="0.4">
      <c r="B37" s="105"/>
      <c r="C37" s="101"/>
      <c r="D37" s="35">
        <v>1</v>
      </c>
      <c r="E37" s="33">
        <v>6.55</v>
      </c>
      <c r="F37" s="24">
        <v>6.95</v>
      </c>
      <c r="G37" s="50">
        <v>6.95</v>
      </c>
      <c r="H37" s="63">
        <v>6.8166666666666664</v>
      </c>
      <c r="I37" s="58">
        <f t="shared" si="0"/>
        <v>0.19880986850089588</v>
      </c>
    </row>
    <row r="38" spans="2:9" ht="15" thickBot="1" x14ac:dyDescent="0.4">
      <c r="B38" s="106"/>
      <c r="C38" s="102" t="s">
        <v>8</v>
      </c>
      <c r="D38" s="103"/>
      <c r="E38" s="29">
        <v>9.1</v>
      </c>
      <c r="F38" s="29">
        <v>9.4</v>
      </c>
      <c r="G38" s="55">
        <v>9.5500000000000007</v>
      </c>
      <c r="H38" s="36">
        <v>9.35</v>
      </c>
      <c r="I38" s="60">
        <f t="shared" si="0"/>
        <v>-2.3345234648324373</v>
      </c>
    </row>
  </sheetData>
  <mergeCells count="16">
    <mergeCell ref="I2:I5"/>
    <mergeCell ref="E5:H5"/>
    <mergeCell ref="E2:H2"/>
    <mergeCell ref="B6:B16"/>
    <mergeCell ref="C28:C32"/>
    <mergeCell ref="C4:D4"/>
    <mergeCell ref="C6:C10"/>
    <mergeCell ref="C11:C15"/>
    <mergeCell ref="C16:D16"/>
    <mergeCell ref="C33:C37"/>
    <mergeCell ref="C38:D38"/>
    <mergeCell ref="B28:B38"/>
    <mergeCell ref="C17:C21"/>
    <mergeCell ref="C22:C26"/>
    <mergeCell ref="C27:D27"/>
    <mergeCell ref="B17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013C-D261-40AE-A394-B51D20401548}">
  <dimension ref="B1:I33"/>
  <sheetViews>
    <sheetView workbookViewId="0">
      <selection activeCell="B1" sqref="B1"/>
    </sheetView>
  </sheetViews>
  <sheetFormatPr defaultRowHeight="14.5" x14ac:dyDescent="0.35"/>
  <cols>
    <col min="3" max="3" width="12.36328125" bestFit="1" customWidth="1"/>
    <col min="4" max="4" width="11.453125" bestFit="1" customWidth="1"/>
    <col min="5" max="7" width="8.453125" bestFit="1" customWidth="1"/>
  </cols>
  <sheetData>
    <row r="1" spans="2:9" ht="15" thickBot="1" x14ac:dyDescent="0.4">
      <c r="B1" t="s">
        <v>41</v>
      </c>
    </row>
    <row r="2" spans="2:9" ht="17" thickBot="1" x14ac:dyDescent="0.5">
      <c r="E2" s="119" t="s">
        <v>14</v>
      </c>
      <c r="F2" s="120"/>
      <c r="G2" s="120"/>
      <c r="H2" s="121"/>
      <c r="I2" s="113" t="s">
        <v>13</v>
      </c>
    </row>
    <row r="3" spans="2:9" ht="15" thickBot="1" x14ac:dyDescent="0.4">
      <c r="E3" s="74" t="s">
        <v>3</v>
      </c>
      <c r="F3" s="75" t="s">
        <v>4</v>
      </c>
      <c r="G3" s="76" t="s">
        <v>5</v>
      </c>
      <c r="H3" s="72" t="s">
        <v>12</v>
      </c>
      <c r="I3" s="114"/>
    </row>
    <row r="4" spans="2:9" ht="15" thickBot="1" x14ac:dyDescent="0.4">
      <c r="C4" s="102" t="s">
        <v>2</v>
      </c>
      <c r="D4" s="103"/>
      <c r="E4" s="3">
        <v>5.982271233039568</v>
      </c>
      <c r="F4" s="3">
        <v>5.9444826721501682</v>
      </c>
      <c r="G4" s="3">
        <v>5.924279286061882</v>
      </c>
      <c r="H4" s="73">
        <f>AVERAGE(E4:G4)</f>
        <v>5.9503443970838719</v>
      </c>
      <c r="I4" s="114"/>
    </row>
    <row r="5" spans="2:9" ht="15" thickBot="1" x14ac:dyDescent="0.4">
      <c r="C5" s="68" t="s">
        <v>6</v>
      </c>
      <c r="D5" s="68" t="s">
        <v>7</v>
      </c>
      <c r="E5" s="126"/>
      <c r="F5" s="127"/>
      <c r="G5" s="127"/>
      <c r="H5" s="128"/>
      <c r="I5" s="114"/>
    </row>
    <row r="6" spans="2:9" ht="15" thickBot="1" x14ac:dyDescent="0.4">
      <c r="B6" s="104" t="s">
        <v>9</v>
      </c>
      <c r="C6" s="107" t="s">
        <v>0</v>
      </c>
      <c r="D6" s="26">
        <v>32</v>
      </c>
      <c r="E6" s="16">
        <v>4.7781512503836439</v>
      </c>
      <c r="F6" s="11">
        <v>4.6434526764861879</v>
      </c>
      <c r="G6" s="48">
        <v>4.7481880270062007</v>
      </c>
      <c r="H6" s="73">
        <f t="shared" ref="H6:H11" si="0">AVERAGE(E6:G6)</f>
        <v>4.7232639846253441</v>
      </c>
      <c r="I6" s="56">
        <f>$H$4-H6</f>
        <v>1.2270804124585277</v>
      </c>
    </row>
    <row r="7" spans="2:9" ht="15" thickBot="1" x14ac:dyDescent="0.4">
      <c r="B7" s="105"/>
      <c r="C7" s="108"/>
      <c r="D7" s="27">
        <v>16</v>
      </c>
      <c r="E7" s="17">
        <v>4.982271233039568</v>
      </c>
      <c r="F7" s="2">
        <v>4.8573324964312681</v>
      </c>
      <c r="G7" s="49">
        <v>5</v>
      </c>
      <c r="H7" s="73">
        <f t="shared" si="0"/>
        <v>4.9465345764902784</v>
      </c>
      <c r="I7" s="57">
        <v>1.0038098205935935</v>
      </c>
    </row>
    <row r="8" spans="2:9" ht="15" thickBot="1" x14ac:dyDescent="0.4">
      <c r="B8" s="105"/>
      <c r="C8" s="108"/>
      <c r="D8" s="27">
        <v>8</v>
      </c>
      <c r="E8" s="17">
        <v>4.982271233039568</v>
      </c>
      <c r="F8" s="2">
        <v>5.0791812460476251</v>
      </c>
      <c r="G8" s="49">
        <v>4.924279286061882</v>
      </c>
      <c r="H8" s="73">
        <f t="shared" si="0"/>
        <v>4.9952439217163587</v>
      </c>
      <c r="I8" s="57">
        <v>0.95510047536751319</v>
      </c>
    </row>
    <row r="9" spans="2:9" ht="15" thickBot="1" x14ac:dyDescent="0.4">
      <c r="B9" s="105"/>
      <c r="C9" s="108"/>
      <c r="D9" s="27">
        <v>4</v>
      </c>
      <c r="E9" s="17">
        <v>5.2833012287035492</v>
      </c>
      <c r="F9" s="2">
        <v>5.1931245983544612</v>
      </c>
      <c r="G9" s="49">
        <v>5.2355284469075487</v>
      </c>
      <c r="H9" s="73">
        <f t="shared" si="0"/>
        <v>5.2373180913218533</v>
      </c>
      <c r="I9" s="57">
        <v>0.71302630576201853</v>
      </c>
    </row>
    <row r="10" spans="2:9" ht="15" thickBot="1" x14ac:dyDescent="0.4">
      <c r="B10" s="105"/>
      <c r="C10" s="108"/>
      <c r="D10" s="27">
        <v>2</v>
      </c>
      <c r="E10" s="17">
        <v>5.6020599913279625</v>
      </c>
      <c r="F10" s="2">
        <v>5.6812412373755876</v>
      </c>
      <c r="G10" s="49">
        <v>5.3010299956639813</v>
      </c>
      <c r="H10" s="73">
        <f t="shared" si="0"/>
        <v>5.5281104081225108</v>
      </c>
      <c r="I10" s="57">
        <v>0.42223398896136111</v>
      </c>
    </row>
    <row r="11" spans="2:9" ht="15" thickBot="1" x14ac:dyDescent="0.4">
      <c r="B11" s="105"/>
      <c r="C11" s="109"/>
      <c r="D11" s="28">
        <v>1</v>
      </c>
      <c r="E11" s="25">
        <v>5.6020599913279625</v>
      </c>
      <c r="F11" s="24">
        <v>5.7160033436347994</v>
      </c>
      <c r="G11" s="50">
        <v>5.7481880270062007</v>
      </c>
      <c r="H11" s="73">
        <f t="shared" si="0"/>
        <v>5.6887504539896545</v>
      </c>
      <c r="I11" s="58">
        <v>0.26159394309421735</v>
      </c>
    </row>
    <row r="12" spans="2:9" x14ac:dyDescent="0.35">
      <c r="B12" s="105"/>
      <c r="C12" s="110" t="s">
        <v>1</v>
      </c>
      <c r="D12" s="42">
        <v>128</v>
      </c>
      <c r="E12" s="43">
        <v>5.982271233039568</v>
      </c>
      <c r="F12" s="3">
        <v>5.8325089127062366</v>
      </c>
      <c r="G12" s="54">
        <v>5.9637878273455556</v>
      </c>
      <c r="H12" s="59">
        <v>5.9261893243637864</v>
      </c>
      <c r="I12" s="59">
        <v>2.4155072720085435E-2</v>
      </c>
    </row>
    <row r="13" spans="2:9" x14ac:dyDescent="0.35">
      <c r="B13" s="105"/>
      <c r="C13" s="111"/>
      <c r="D13" s="27">
        <v>64</v>
      </c>
      <c r="E13" s="17">
        <v>6</v>
      </c>
      <c r="F13" s="2">
        <v>6.0791812460476251</v>
      </c>
      <c r="G13" s="49">
        <v>6.0934216851622347</v>
      </c>
      <c r="H13" s="57">
        <v>6.0575343104032866</v>
      </c>
      <c r="I13" s="57">
        <v>-0.10718991331941474</v>
      </c>
    </row>
    <row r="14" spans="2:9" x14ac:dyDescent="0.35">
      <c r="B14" s="105"/>
      <c r="C14" s="111"/>
      <c r="D14" s="27">
        <v>32</v>
      </c>
      <c r="E14" s="17">
        <v>6.1461280356782382</v>
      </c>
      <c r="F14" s="2">
        <v>6.0934216851622347</v>
      </c>
      <c r="G14" s="49">
        <v>6.1335389083702179</v>
      </c>
      <c r="H14" s="57">
        <v>6.1243628764035636</v>
      </c>
      <c r="I14" s="57">
        <v>-0.17401847931969172</v>
      </c>
    </row>
    <row r="15" spans="2:9" x14ac:dyDescent="0.35">
      <c r="B15" s="105"/>
      <c r="C15" s="111"/>
      <c r="D15" s="27">
        <v>16</v>
      </c>
      <c r="E15" s="17">
        <v>6.1818435879447726</v>
      </c>
      <c r="F15" s="2">
        <v>6.1702617153949575</v>
      </c>
      <c r="G15" s="49">
        <v>6.0934216851622347</v>
      </c>
      <c r="H15" s="57">
        <v>6.1485089961673216</v>
      </c>
      <c r="I15" s="57">
        <v>-0.19816459908344974</v>
      </c>
    </row>
    <row r="16" spans="2:9" x14ac:dyDescent="0.35">
      <c r="B16" s="105"/>
      <c r="C16" s="111"/>
      <c r="D16" s="27">
        <v>8</v>
      </c>
      <c r="E16" s="17">
        <v>6.214843848047698</v>
      </c>
      <c r="F16" s="2">
        <v>6.2648178230095368</v>
      </c>
      <c r="G16" s="49">
        <v>6.2741578492636796</v>
      </c>
      <c r="H16" s="57">
        <v>6.2512731734403042</v>
      </c>
      <c r="I16" s="57">
        <v>-0.30092877635643234</v>
      </c>
    </row>
    <row r="17" spans="2:9" ht="15" thickBot="1" x14ac:dyDescent="0.4">
      <c r="B17" s="105"/>
      <c r="C17" s="112"/>
      <c r="D17" s="28">
        <v>4</v>
      </c>
      <c r="E17" s="78">
        <v>6.2552725051033065</v>
      </c>
      <c r="F17" s="67">
        <v>6.2741578492636796</v>
      </c>
      <c r="G17" s="77">
        <v>6.214843848047698</v>
      </c>
      <c r="H17" s="65">
        <v>6.2480914008048956</v>
      </c>
      <c r="I17" s="65">
        <v>-0.2977470037210237</v>
      </c>
    </row>
    <row r="18" spans="2:9" x14ac:dyDescent="0.35">
      <c r="B18" s="105"/>
      <c r="C18" s="131" t="s">
        <v>15</v>
      </c>
      <c r="D18" s="132"/>
      <c r="E18" s="16">
        <v>4.6812412373755876</v>
      </c>
      <c r="F18" s="11">
        <v>4.7160033436347994</v>
      </c>
      <c r="G18" s="48">
        <v>4.5563025007672868</v>
      </c>
      <c r="H18" s="56">
        <v>4.651182360592558</v>
      </c>
      <c r="I18" s="56">
        <v>1.2991620364913139</v>
      </c>
    </row>
    <row r="19" spans="2:9" ht="15" thickBot="1" x14ac:dyDescent="0.4">
      <c r="B19" s="106"/>
      <c r="C19" s="129" t="s">
        <v>8</v>
      </c>
      <c r="D19" s="130"/>
      <c r="E19" s="25">
        <v>6.3424226808222066</v>
      </c>
      <c r="F19" s="24">
        <v>6.3654879848908994</v>
      </c>
      <c r="G19" s="50">
        <v>6.4014005407815437</v>
      </c>
      <c r="H19" s="58">
        <v>6.3697704021648827</v>
      </c>
      <c r="I19" s="58">
        <v>-0.4194260050810108</v>
      </c>
    </row>
    <row r="20" spans="2:9" ht="14.5" customHeight="1" x14ac:dyDescent="0.35">
      <c r="B20" s="104" t="s">
        <v>10</v>
      </c>
      <c r="C20" s="107" t="s">
        <v>0</v>
      </c>
      <c r="D20" s="26">
        <v>32</v>
      </c>
      <c r="E20" s="2">
        <v>4.3802112417116064</v>
      </c>
      <c r="F20" s="2">
        <v>4.66</v>
      </c>
      <c r="G20" s="2">
        <v>4.5999999999999996</v>
      </c>
      <c r="H20" s="56">
        <f>AVERAGE(E20:G20)</f>
        <v>4.5467370805705354</v>
      </c>
      <c r="I20" s="56">
        <f>$H$4-H20</f>
        <v>1.4036073165133365</v>
      </c>
    </row>
    <row r="21" spans="2:9" x14ac:dyDescent="0.35">
      <c r="B21" s="105"/>
      <c r="C21" s="108"/>
      <c r="D21" s="27">
        <v>16</v>
      </c>
      <c r="E21" s="17">
        <v>4.6812412373755876</v>
      </c>
      <c r="F21" s="2">
        <v>4.7481880270062007</v>
      </c>
      <c r="G21" s="49">
        <v>4.5051499783199063</v>
      </c>
      <c r="H21" s="57">
        <v>4.6448597475672315</v>
      </c>
      <c r="I21" s="57">
        <v>1.3054846495166403</v>
      </c>
    </row>
    <row r="22" spans="2:9" x14ac:dyDescent="0.35">
      <c r="B22" s="105"/>
      <c r="C22" s="108"/>
      <c r="D22" s="27">
        <v>8</v>
      </c>
      <c r="E22" s="17">
        <v>4.8808135922807914</v>
      </c>
      <c r="F22" s="2">
        <v>4.7781512503836439</v>
      </c>
      <c r="G22" s="49">
        <v>4.6812412373755876</v>
      </c>
      <c r="H22" s="57">
        <v>4.7800686933466743</v>
      </c>
      <c r="I22" s="57">
        <v>1.1702757037371976</v>
      </c>
    </row>
    <row r="23" spans="2:9" x14ac:dyDescent="0.35">
      <c r="B23" s="105"/>
      <c r="C23" s="108"/>
      <c r="D23" s="27">
        <v>4</v>
      </c>
      <c r="E23" s="17">
        <v>5.1818435879447726</v>
      </c>
      <c r="F23" s="2">
        <v>5.0492180226701819</v>
      </c>
      <c r="G23" s="49">
        <v>5.1583624920952493</v>
      </c>
      <c r="H23" s="57">
        <v>5.1298080342367349</v>
      </c>
      <c r="I23" s="57">
        <v>0.82053636284713694</v>
      </c>
    </row>
    <row r="24" spans="2:9" x14ac:dyDescent="0.35">
      <c r="B24" s="105"/>
      <c r="C24" s="108"/>
      <c r="D24" s="27">
        <v>2</v>
      </c>
      <c r="E24" s="17">
        <v>5.3654879848908994</v>
      </c>
      <c r="F24" s="2">
        <v>5.4082399653118491</v>
      </c>
      <c r="G24" s="49">
        <v>5.4281347940287885</v>
      </c>
      <c r="H24" s="57">
        <v>5.400620914743846</v>
      </c>
      <c r="I24" s="57">
        <v>0.54972348234002588</v>
      </c>
    </row>
    <row r="25" spans="2:9" ht="15" thickBot="1" x14ac:dyDescent="0.4">
      <c r="B25" s="105"/>
      <c r="C25" s="109"/>
      <c r="D25" s="28">
        <v>1</v>
      </c>
      <c r="E25" s="25">
        <v>5.5563025007672868</v>
      </c>
      <c r="F25" s="24">
        <v>5.7481880270062007</v>
      </c>
      <c r="G25" s="50">
        <v>5.5051499783199063</v>
      </c>
      <c r="H25" s="58">
        <v>5.6032135020311316</v>
      </c>
      <c r="I25" s="58">
        <v>0.34713089505274031</v>
      </c>
    </row>
    <row r="26" spans="2:9" x14ac:dyDescent="0.35">
      <c r="B26" s="105"/>
      <c r="C26" s="135" t="s">
        <v>1</v>
      </c>
      <c r="D26" s="26">
        <v>128</v>
      </c>
      <c r="E26" s="16">
        <v>6.08</v>
      </c>
      <c r="F26" s="11">
        <v>5.9444826721501682</v>
      </c>
      <c r="G26" s="48">
        <v>6.09</v>
      </c>
      <c r="H26" s="56">
        <f>AVERAGE(E26:G26)</f>
        <v>6.0381608907167221</v>
      </c>
      <c r="I26" s="56">
        <f>$H$4-H26</f>
        <v>-8.7816493632850268E-2</v>
      </c>
    </row>
    <row r="27" spans="2:9" x14ac:dyDescent="0.35">
      <c r="B27" s="105"/>
      <c r="C27" s="111"/>
      <c r="D27" s="27">
        <v>64</v>
      </c>
      <c r="E27" s="17">
        <v>6.0934216851622347</v>
      </c>
      <c r="F27" s="2">
        <v>6.1072099696478688</v>
      </c>
      <c r="G27" s="49">
        <v>6.1702617153949575</v>
      </c>
      <c r="H27" s="57">
        <v>6.1236311234016867</v>
      </c>
      <c r="I27" s="57">
        <v>-0.17328672631781483</v>
      </c>
    </row>
    <row r="28" spans="2:9" x14ac:dyDescent="0.35">
      <c r="B28" s="105"/>
      <c r="C28" s="111"/>
      <c r="D28" s="27">
        <v>32</v>
      </c>
      <c r="E28" s="17">
        <v>6.214843848047698</v>
      </c>
      <c r="F28" s="2">
        <v>6.2552725051033065</v>
      </c>
      <c r="G28" s="49">
        <v>6.2741578492636796</v>
      </c>
      <c r="H28" s="57">
        <v>6.2480914008048947</v>
      </c>
      <c r="I28" s="57">
        <v>-0.29774700372102281</v>
      </c>
    </row>
    <row r="29" spans="2:9" x14ac:dyDescent="0.35">
      <c r="B29" s="105"/>
      <c r="C29" s="111"/>
      <c r="D29" s="27">
        <v>16</v>
      </c>
      <c r="E29" s="17">
        <v>6.3344537511509307</v>
      </c>
      <c r="F29" s="2">
        <v>6.2833012287035492</v>
      </c>
      <c r="G29" s="49">
        <v>6.3096301674258983</v>
      </c>
      <c r="H29" s="57">
        <v>6.3091283824267927</v>
      </c>
      <c r="I29" s="57">
        <v>-0.35878398534292089</v>
      </c>
    </row>
    <row r="30" spans="2:9" x14ac:dyDescent="0.35">
      <c r="B30" s="105"/>
      <c r="C30" s="111"/>
      <c r="D30" s="27">
        <v>8</v>
      </c>
      <c r="E30" s="17">
        <v>6.3873898263387296</v>
      </c>
      <c r="F30" s="2">
        <v>6.357934847000454</v>
      </c>
      <c r="G30" s="49">
        <v>6.4149733479708182</v>
      </c>
      <c r="H30" s="57">
        <v>6.3867660071033336</v>
      </c>
      <c r="I30" s="57">
        <v>-0.43642161001946178</v>
      </c>
    </row>
    <row r="31" spans="2:9" ht="15" thickBot="1" x14ac:dyDescent="0.4">
      <c r="B31" s="105"/>
      <c r="C31" s="112"/>
      <c r="D31" s="28">
        <v>4</v>
      </c>
      <c r="E31" s="25">
        <v>6.4593924877592306</v>
      </c>
      <c r="F31" s="24">
        <v>6.4653828514484184</v>
      </c>
      <c r="G31" s="50">
        <v>6.394451680826216</v>
      </c>
      <c r="H31" s="58">
        <v>6.4397423400112883</v>
      </c>
      <c r="I31" s="58">
        <v>-0.48939794292741645</v>
      </c>
    </row>
    <row r="32" spans="2:9" x14ac:dyDescent="0.35">
      <c r="B32" s="105"/>
      <c r="C32" s="133" t="s">
        <v>15</v>
      </c>
      <c r="D32" s="134"/>
      <c r="E32" s="31">
        <v>4.1931245983544612</v>
      </c>
      <c r="F32" s="11">
        <v>4.1335389083702179</v>
      </c>
      <c r="G32" s="48">
        <v>4.1461280356782382</v>
      </c>
      <c r="H32" s="59">
        <v>4.1575971808009724</v>
      </c>
      <c r="I32" s="59">
        <v>1.7927472162828995</v>
      </c>
    </row>
    <row r="33" spans="2:9" ht="15" thickBot="1" x14ac:dyDescent="0.4">
      <c r="B33" s="106"/>
      <c r="C33" s="129" t="s">
        <v>8</v>
      </c>
      <c r="D33" s="130"/>
      <c r="E33" s="33">
        <v>6.6434526764861879</v>
      </c>
      <c r="F33" s="24">
        <v>6.7481880270062007</v>
      </c>
      <c r="G33" s="50">
        <v>6.6812412373755876</v>
      </c>
      <c r="H33" s="58">
        <v>6.6909606469559924</v>
      </c>
      <c r="I33" s="58">
        <v>-0.74061624987212049</v>
      </c>
    </row>
  </sheetData>
  <mergeCells count="14">
    <mergeCell ref="C33:D33"/>
    <mergeCell ref="B20:B33"/>
    <mergeCell ref="C32:D32"/>
    <mergeCell ref="C20:C25"/>
    <mergeCell ref="C26:C31"/>
    <mergeCell ref="B6:B19"/>
    <mergeCell ref="E2:H2"/>
    <mergeCell ref="I2:I5"/>
    <mergeCell ref="C4:D4"/>
    <mergeCell ref="E5:H5"/>
    <mergeCell ref="C19:D19"/>
    <mergeCell ref="C6:C11"/>
    <mergeCell ref="C12:C17"/>
    <mergeCell ref="C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0848-D473-40DF-8D20-C05A34BFDEEC}">
  <dimension ref="B1:I29"/>
  <sheetViews>
    <sheetView workbookViewId="0">
      <selection activeCell="B1" sqref="B1"/>
    </sheetView>
  </sheetViews>
  <sheetFormatPr defaultRowHeight="14.5" x14ac:dyDescent="0.35"/>
  <cols>
    <col min="2" max="2" width="8.7265625" style="83"/>
    <col min="3" max="3" width="13.08984375" style="83" bestFit="1" customWidth="1"/>
    <col min="4" max="4" width="11.453125" bestFit="1" customWidth="1"/>
  </cols>
  <sheetData>
    <row r="1" spans="2:9" ht="15" customHeight="1" thickBot="1" x14ac:dyDescent="0.4">
      <c r="B1" s="148" t="s">
        <v>39</v>
      </c>
    </row>
    <row r="2" spans="2:9" ht="17" customHeight="1" thickBot="1" x14ac:dyDescent="0.5">
      <c r="E2" s="119" t="s">
        <v>14</v>
      </c>
      <c r="F2" s="120"/>
      <c r="G2" s="120"/>
      <c r="H2" s="120"/>
      <c r="I2" s="113" t="s">
        <v>13</v>
      </c>
    </row>
    <row r="3" spans="2:9" ht="15" thickBot="1" x14ac:dyDescent="0.4">
      <c r="B3" s="14" t="s">
        <v>25</v>
      </c>
      <c r="C3" s="15" t="s">
        <v>6</v>
      </c>
      <c r="D3" s="68" t="s">
        <v>29</v>
      </c>
      <c r="E3" s="69" t="s">
        <v>3</v>
      </c>
      <c r="F3" s="70" t="s">
        <v>4</v>
      </c>
      <c r="G3" s="71" t="s">
        <v>5</v>
      </c>
      <c r="H3" s="85" t="s">
        <v>12</v>
      </c>
      <c r="I3" s="114"/>
    </row>
    <row r="4" spans="2:9" x14ac:dyDescent="0.35">
      <c r="B4" s="137">
        <v>1</v>
      </c>
      <c r="C4" s="125" t="s">
        <v>0</v>
      </c>
      <c r="D4" s="26" t="s">
        <v>16</v>
      </c>
      <c r="E4" s="16">
        <v>6.5976951859255122</v>
      </c>
      <c r="F4" s="11">
        <v>6.632457292184724</v>
      </c>
      <c r="G4" s="48">
        <v>6.8</v>
      </c>
      <c r="H4" s="61">
        <v>6.6767174927034114</v>
      </c>
      <c r="I4" s="56">
        <v>1.0674219244988548</v>
      </c>
    </row>
    <row r="5" spans="2:9" x14ac:dyDescent="0.35">
      <c r="B5" s="136"/>
      <c r="C5" s="100"/>
      <c r="D5" s="27" t="s">
        <v>17</v>
      </c>
      <c r="E5" s="17">
        <v>7.3510228525841237</v>
      </c>
      <c r="F5" s="2">
        <v>7.3935752032695872</v>
      </c>
      <c r="G5" s="49">
        <v>7.375846436309156</v>
      </c>
      <c r="H5" s="62">
        <v>7.3734814973876226</v>
      </c>
      <c r="I5" s="57">
        <v>0.37065791981464358</v>
      </c>
    </row>
    <row r="6" spans="2:9" x14ac:dyDescent="0.35">
      <c r="B6" s="136"/>
      <c r="C6" s="100"/>
      <c r="D6" s="27" t="s">
        <v>18</v>
      </c>
      <c r="E6" s="17">
        <v>8.0748164406451739</v>
      </c>
      <c r="F6" s="2">
        <v>8.1417632302757887</v>
      </c>
      <c r="G6" s="49">
        <v>8.1812717715594623</v>
      </c>
      <c r="H6" s="62">
        <v>8.132617147493475</v>
      </c>
      <c r="I6" s="57">
        <v>-0.3884777302912088</v>
      </c>
    </row>
    <row r="7" spans="2:9" ht="15" thickBot="1" x14ac:dyDescent="0.4">
      <c r="B7" s="138"/>
      <c r="C7" s="101"/>
      <c r="D7" s="28" t="s">
        <v>19</v>
      </c>
      <c r="E7" s="25">
        <v>8.2260841159758247</v>
      </c>
      <c r="F7" s="24">
        <v>8.2345172835126874</v>
      </c>
      <c r="G7" s="50">
        <v>8.2588766293721321</v>
      </c>
      <c r="H7" s="63">
        <v>8.2398260096202147</v>
      </c>
      <c r="I7" s="58">
        <v>-0.49568659241794855</v>
      </c>
    </row>
    <row r="8" spans="2:9" x14ac:dyDescent="0.35">
      <c r="B8" s="137">
        <v>2</v>
      </c>
      <c r="C8" s="125" t="s">
        <v>1</v>
      </c>
      <c r="D8" s="26" t="s">
        <v>16</v>
      </c>
      <c r="E8" s="16">
        <v>7.4679039465228003</v>
      </c>
      <c r="F8" s="11">
        <v>7.4629966120280562</v>
      </c>
      <c r="G8" s="48">
        <v>7.4479328655921799</v>
      </c>
      <c r="H8" s="61">
        <v>7.4596111413810116</v>
      </c>
      <c r="I8" s="56">
        <v>0.28452827582125462</v>
      </c>
    </row>
    <row r="9" spans="2:9" x14ac:dyDescent="0.35">
      <c r="B9" s="136"/>
      <c r="C9" s="100"/>
      <c r="D9" s="27" t="s">
        <v>17</v>
      </c>
      <c r="E9" s="17">
        <v>7.61</v>
      </c>
      <c r="F9" s="2">
        <v>7.6646419755561253</v>
      </c>
      <c r="G9" s="49">
        <v>7.7737864449811935</v>
      </c>
      <c r="H9" s="62">
        <v>7.6828094735124397</v>
      </c>
      <c r="I9" s="57">
        <v>6.1329943689826472E-2</v>
      </c>
    </row>
    <row r="10" spans="2:9" x14ac:dyDescent="0.35">
      <c r="B10" s="136"/>
      <c r="C10" s="100"/>
      <c r="D10" s="27" t="s">
        <v>18</v>
      </c>
      <c r="E10" s="17">
        <v>8.1717264536532319</v>
      </c>
      <c r="F10" s="2">
        <v>8.1312977965976234</v>
      </c>
      <c r="G10" s="49">
        <v>8.1619666163640741</v>
      </c>
      <c r="H10" s="62">
        <v>8.1549969555383104</v>
      </c>
      <c r="I10" s="57">
        <v>-0.41085753833604421</v>
      </c>
    </row>
    <row r="11" spans="2:9" ht="15" thickBot="1" x14ac:dyDescent="0.4">
      <c r="B11" s="138"/>
      <c r="C11" s="101"/>
      <c r="D11" s="28" t="s">
        <v>19</v>
      </c>
      <c r="E11" s="25">
        <v>8.2667019668840886</v>
      </c>
      <c r="F11" s="24">
        <v>8.3038437748886551</v>
      </c>
      <c r="G11" s="50">
        <v>8.3314272965207437</v>
      </c>
      <c r="H11" s="63">
        <v>8.3006576794311631</v>
      </c>
      <c r="I11" s="58">
        <v>-0.55651826222889689</v>
      </c>
    </row>
    <row r="12" spans="2:9" x14ac:dyDescent="0.35">
      <c r="B12" s="137">
        <v>3</v>
      </c>
      <c r="C12" s="125" t="s">
        <v>23</v>
      </c>
      <c r="D12" s="26" t="s">
        <v>16</v>
      </c>
      <c r="E12" s="16">
        <v>6.9656719712201065</v>
      </c>
      <c r="F12" s="11">
        <v>7</v>
      </c>
      <c r="G12" s="48">
        <v>6.98</v>
      </c>
      <c r="H12" s="61">
        <v>6.981890657073369</v>
      </c>
      <c r="I12" s="56">
        <v>0.7622487601288972</v>
      </c>
    </row>
    <row r="13" spans="2:9" x14ac:dyDescent="0.35">
      <c r="B13" s="136"/>
      <c r="C13" s="100"/>
      <c r="D13" s="27" t="s">
        <v>17</v>
      </c>
      <c r="E13" s="17">
        <v>7.6646419755561253</v>
      </c>
      <c r="F13" s="2">
        <v>7.7737864449811935</v>
      </c>
      <c r="G13" s="49">
        <v>7.8407332346118066</v>
      </c>
      <c r="H13" s="62">
        <v>7.7597205517163745</v>
      </c>
      <c r="I13" s="57">
        <v>-1.5581134514108363E-2</v>
      </c>
    </row>
    <row r="14" spans="2:9" x14ac:dyDescent="0.35">
      <c r="B14" s="136"/>
      <c r="C14" s="100"/>
      <c r="D14" s="27" t="s">
        <v>18</v>
      </c>
      <c r="E14" s="17">
        <v>8.1997551772534756</v>
      </c>
      <c r="F14" s="2">
        <v>8.2345172835126874</v>
      </c>
      <c r="G14" s="49">
        <v>8.2588766293721321</v>
      </c>
      <c r="H14" s="62">
        <v>8.2310496967127644</v>
      </c>
      <c r="I14" s="57">
        <v>-0.48691027951049826</v>
      </c>
    </row>
    <row r="15" spans="2:9" ht="15" thickBot="1" x14ac:dyDescent="0.4">
      <c r="B15" s="138"/>
      <c r="C15" s="101"/>
      <c r="D15" s="28" t="s">
        <v>19</v>
      </c>
      <c r="E15" s="25">
        <v>8.3380578754197554</v>
      </c>
      <c r="F15" s="24">
        <v>8.4050046650503685</v>
      </c>
      <c r="G15" s="50">
        <v>8.3758464363091552</v>
      </c>
      <c r="H15" s="63">
        <v>8.3729696589264275</v>
      </c>
      <c r="I15" s="58">
        <v>-0.62883024172416135</v>
      </c>
    </row>
    <row r="16" spans="2:9" x14ac:dyDescent="0.35">
      <c r="B16" s="136">
        <v>4</v>
      </c>
      <c r="C16" s="99" t="s">
        <v>21</v>
      </c>
      <c r="D16" s="42" t="s">
        <v>16</v>
      </c>
      <c r="E16" s="43">
        <v>7.7737864449811935</v>
      </c>
      <c r="F16" s="3">
        <v>7.88</v>
      </c>
      <c r="G16" s="54">
        <v>7.8407332346118066</v>
      </c>
      <c r="H16" s="64">
        <v>7.8315065598643336</v>
      </c>
      <c r="I16" s="59">
        <v>-8.7367142662067465E-2</v>
      </c>
    </row>
    <row r="17" spans="2:9" x14ac:dyDescent="0.35">
      <c r="B17" s="136"/>
      <c r="C17" s="100"/>
      <c r="D17" s="27" t="s">
        <v>17</v>
      </c>
      <c r="E17" s="17">
        <v>7.9656719712201065</v>
      </c>
      <c r="F17" s="2">
        <v>8.01</v>
      </c>
      <c r="G17" s="49">
        <v>8.08</v>
      </c>
      <c r="H17" s="62">
        <v>8.0185573237400352</v>
      </c>
      <c r="I17" s="57">
        <v>-0.27441790653776899</v>
      </c>
    </row>
    <row r="18" spans="2:9" x14ac:dyDescent="0.35">
      <c r="B18" s="136"/>
      <c r="C18" s="100"/>
      <c r="D18" s="27" t="s">
        <v>18</v>
      </c>
      <c r="E18" s="17">
        <v>8.0982975364946981</v>
      </c>
      <c r="F18" s="2">
        <v>8.1417632302757887</v>
      </c>
      <c r="G18" s="49">
        <v>8.1619666163640741</v>
      </c>
      <c r="H18" s="62">
        <v>8.1340091277115203</v>
      </c>
      <c r="I18" s="57">
        <v>-0.38986971050925412</v>
      </c>
    </row>
    <row r="19" spans="2:9" ht="15" thickBot="1" x14ac:dyDescent="0.4">
      <c r="B19" s="136"/>
      <c r="C19" s="141"/>
      <c r="D19" s="82" t="s">
        <v>19</v>
      </c>
      <c r="E19" s="78">
        <v>8.1997551772534756</v>
      </c>
      <c r="F19" s="67">
        <v>8.24</v>
      </c>
      <c r="G19" s="77">
        <v>8.2588766293721321</v>
      </c>
      <c r="H19" s="86">
        <v>8.2328772688752014</v>
      </c>
      <c r="I19" s="65">
        <v>-0.48873785167293526</v>
      </c>
    </row>
    <row r="20" spans="2:9" x14ac:dyDescent="0.35">
      <c r="B20" s="137">
        <v>5</v>
      </c>
      <c r="C20" s="125" t="s">
        <v>20</v>
      </c>
      <c r="D20" s="26" t="s">
        <v>16</v>
      </c>
      <c r="E20" s="16">
        <v>7.0748164406451748</v>
      </c>
      <c r="F20" s="11">
        <v>7.1095785469043866</v>
      </c>
      <c r="G20" s="48">
        <v>7.0236639181977933</v>
      </c>
      <c r="H20" s="61">
        <v>7.069352968582451</v>
      </c>
      <c r="I20" s="56">
        <v>0.67478644861981518</v>
      </c>
    </row>
    <row r="21" spans="2:9" x14ac:dyDescent="0.35">
      <c r="B21" s="136"/>
      <c r="C21" s="100"/>
      <c r="D21" s="27" t="s">
        <v>17</v>
      </c>
      <c r="E21" s="17">
        <v>7.4727564493172123</v>
      </c>
      <c r="F21" s="2">
        <v>7.632457292184724</v>
      </c>
      <c r="G21" s="49">
        <v>7.58</v>
      </c>
      <c r="H21" s="62">
        <v>7.5617379138339791</v>
      </c>
      <c r="I21" s="57">
        <v>0.18240150336828709</v>
      </c>
    </row>
    <row r="22" spans="2:9" x14ac:dyDescent="0.35">
      <c r="B22" s="136"/>
      <c r="C22" s="100"/>
      <c r="D22" s="27" t="s">
        <v>18</v>
      </c>
      <c r="E22" s="17">
        <v>8.0982975364946981</v>
      </c>
      <c r="F22" s="2">
        <v>8.1095785469043875</v>
      </c>
      <c r="G22" s="49">
        <v>8.1619666163640741</v>
      </c>
      <c r="H22" s="62">
        <v>8.1232808999210544</v>
      </c>
      <c r="I22" s="57">
        <v>-0.37914148271878823</v>
      </c>
    </row>
    <row r="23" spans="2:9" ht="15" thickBot="1" x14ac:dyDescent="0.4">
      <c r="B23" s="138"/>
      <c r="C23" s="101"/>
      <c r="D23" s="28" t="s">
        <v>19</v>
      </c>
      <c r="E23" s="25">
        <v>8.3877456596088642</v>
      </c>
      <c r="F23" s="24">
        <v>8.4106085425683688</v>
      </c>
      <c r="G23" s="50">
        <v>8.4499999999999993</v>
      </c>
      <c r="H23" s="63">
        <v>8.4161180673924108</v>
      </c>
      <c r="I23" s="58">
        <v>-0.67197865019014458</v>
      </c>
    </row>
    <row r="24" spans="2:9" x14ac:dyDescent="0.35">
      <c r="B24" s="137">
        <v>6</v>
      </c>
      <c r="C24" s="125" t="s">
        <v>24</v>
      </c>
      <c r="D24" s="26" t="s">
        <v>16</v>
      </c>
      <c r="E24" s="16">
        <v>7.4679039465228003</v>
      </c>
      <c r="F24" s="11">
        <v>7.4323277922616038</v>
      </c>
      <c r="G24" s="48">
        <v>7.4823017672234426</v>
      </c>
      <c r="H24" s="61">
        <v>7.4608445020026153</v>
      </c>
      <c r="I24" s="56">
        <v>0.28329491519965089</v>
      </c>
    </row>
    <row r="25" spans="2:9" x14ac:dyDescent="0.35">
      <c r="B25" s="136"/>
      <c r="C25" s="100"/>
      <c r="D25" s="27" t="s">
        <v>17</v>
      </c>
      <c r="E25" s="17">
        <v>7.6946051989335684</v>
      </c>
      <c r="F25" s="2">
        <v>7.7737864449811935</v>
      </c>
      <c r="G25" s="49">
        <v>7.8802417758954801</v>
      </c>
      <c r="H25" s="62">
        <v>7.7828778066034134</v>
      </c>
      <c r="I25" s="57">
        <v>-3.8738389401147266E-2</v>
      </c>
    </row>
    <row r="26" spans="2:9" x14ac:dyDescent="0.35">
      <c r="B26" s="136"/>
      <c r="C26" s="100"/>
      <c r="D26" s="27" t="s">
        <v>18</v>
      </c>
      <c r="E26" s="17">
        <v>8.1095785469043875</v>
      </c>
      <c r="F26" s="2">
        <v>8.1619666163640741</v>
      </c>
      <c r="G26" s="49">
        <v>8.09</v>
      </c>
      <c r="H26" s="62">
        <v>8.1205150544228211</v>
      </c>
      <c r="I26" s="57">
        <v>-0.37637563722055489</v>
      </c>
    </row>
    <row r="27" spans="2:9" ht="15" thickBot="1" x14ac:dyDescent="0.4">
      <c r="B27" s="138"/>
      <c r="C27" s="101"/>
      <c r="D27" s="28" t="s">
        <v>19</v>
      </c>
      <c r="E27" s="25">
        <v>8.2260841159758247</v>
      </c>
      <c r="F27" s="24">
        <v>8.1812717715594623</v>
      </c>
      <c r="G27" s="50">
        <v>8.1717264536532319</v>
      </c>
      <c r="H27" s="63">
        <v>8.1930274470628408</v>
      </c>
      <c r="I27" s="58">
        <v>-0.44888802986057463</v>
      </c>
    </row>
    <row r="28" spans="2:9" x14ac:dyDescent="0.35">
      <c r="B28" s="136" t="s">
        <v>26</v>
      </c>
      <c r="C28" s="133" t="s">
        <v>27</v>
      </c>
      <c r="D28" s="134"/>
      <c r="E28" s="31">
        <v>7.8609366207000937</v>
      </c>
      <c r="F28" s="11">
        <v>7.7737864449811935</v>
      </c>
      <c r="G28" s="80">
        <v>7.5976951859255122</v>
      </c>
      <c r="H28" s="64">
        <v>7.7441394172022662</v>
      </c>
      <c r="I28" s="59">
        <v>0</v>
      </c>
    </row>
    <row r="29" spans="2:9" ht="15" thickBot="1" x14ac:dyDescent="0.4">
      <c r="B29" s="138"/>
      <c r="C29" s="139" t="s">
        <v>28</v>
      </c>
      <c r="D29" s="140"/>
      <c r="E29" s="33">
        <v>8.3510228525841246</v>
      </c>
      <c r="F29" s="24">
        <v>8.3109056293761405</v>
      </c>
      <c r="G29" s="81">
        <v>8.3758464363091552</v>
      </c>
      <c r="H29" s="63">
        <v>8.3459249727564728</v>
      </c>
      <c r="I29" s="58">
        <v>-0.60178555555420665</v>
      </c>
    </row>
  </sheetData>
  <mergeCells count="17">
    <mergeCell ref="I2:I3"/>
    <mergeCell ref="B4:B7"/>
    <mergeCell ref="B8:B11"/>
    <mergeCell ref="B12:B15"/>
    <mergeCell ref="C24:C27"/>
    <mergeCell ref="E2:H2"/>
    <mergeCell ref="C4:C7"/>
    <mergeCell ref="C8:C11"/>
    <mergeCell ref="C20:C23"/>
    <mergeCell ref="C16:C19"/>
    <mergeCell ref="C12:C15"/>
    <mergeCell ref="B16:B19"/>
    <mergeCell ref="B20:B23"/>
    <mergeCell ref="B24:B27"/>
    <mergeCell ref="B28:B29"/>
    <mergeCell ref="C28:D28"/>
    <mergeCell ref="C29:D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2B06-9E32-4D72-ADF7-EFB2A789C35C}">
  <dimension ref="B2:K33"/>
  <sheetViews>
    <sheetView zoomScale="70" zoomScaleNormal="70" workbookViewId="0">
      <selection activeCell="L9" sqref="L9"/>
    </sheetView>
  </sheetViews>
  <sheetFormatPr defaultRowHeight="14.5" x14ac:dyDescent="0.35"/>
  <cols>
    <col min="3" max="3" width="12.36328125" bestFit="1" customWidth="1"/>
    <col min="4" max="4" width="11.54296875" bestFit="1" customWidth="1"/>
    <col min="5" max="7" width="9.36328125" bestFit="1" customWidth="1"/>
    <col min="9" max="9" width="12.90625" bestFit="1" customWidth="1"/>
  </cols>
  <sheetData>
    <row r="2" spans="2:11" s="148" customFormat="1" x14ac:dyDescent="0.35">
      <c r="B2" s="148" t="s">
        <v>40</v>
      </c>
    </row>
    <row r="3" spans="2:11" ht="15" thickBot="1" x14ac:dyDescent="0.4"/>
    <row r="4" spans="2:11" ht="17" thickBot="1" x14ac:dyDescent="0.5">
      <c r="B4" s="83"/>
      <c r="C4" s="83"/>
      <c r="E4" s="119" t="s">
        <v>14</v>
      </c>
      <c r="F4" s="120"/>
      <c r="G4" s="120"/>
      <c r="H4" s="120"/>
      <c r="I4" s="113" t="s">
        <v>13</v>
      </c>
    </row>
    <row r="5" spans="2:11" ht="15" thickBot="1" x14ac:dyDescent="0.4">
      <c r="B5" s="14" t="s">
        <v>25</v>
      </c>
      <c r="C5" s="15" t="s">
        <v>6</v>
      </c>
      <c r="D5" s="68" t="s">
        <v>29</v>
      </c>
      <c r="E5" s="69" t="s">
        <v>3</v>
      </c>
      <c r="F5" s="70" t="s">
        <v>4</v>
      </c>
      <c r="G5" s="95" t="s">
        <v>5</v>
      </c>
      <c r="H5" s="84" t="s">
        <v>12</v>
      </c>
      <c r="I5" s="114"/>
    </row>
    <row r="6" spans="2:11" x14ac:dyDescent="0.35">
      <c r="B6" s="137">
        <v>1</v>
      </c>
      <c r="C6" s="125" t="s">
        <v>0</v>
      </c>
      <c r="D6" s="90" t="s">
        <v>16</v>
      </c>
      <c r="E6" s="31">
        <v>6.5976951859255122</v>
      </c>
      <c r="F6" s="11">
        <v>6.5599066250361124</v>
      </c>
      <c r="G6" s="48">
        <v>6.4216039268698308</v>
      </c>
      <c r="H6" s="56">
        <f>AVERAGE(E6:G6)</f>
        <v>6.5264019126104849</v>
      </c>
      <c r="I6" s="91">
        <f>$H$30-H6</f>
        <v>1.023598087389515</v>
      </c>
    </row>
    <row r="7" spans="2:11" x14ac:dyDescent="0.35">
      <c r="B7" s="136"/>
      <c r="C7" s="100"/>
      <c r="D7" s="88" t="s">
        <v>17</v>
      </c>
      <c r="E7" s="32">
        <v>7.0982975364946981</v>
      </c>
      <c r="F7" s="2">
        <v>7.1417632302757879</v>
      </c>
      <c r="G7" s="49">
        <v>7.171726453653231</v>
      </c>
      <c r="H7" s="57">
        <f t="shared" ref="H7:H25" si="0">AVERAGE(E7:G7)</f>
        <v>7.1372624068079062</v>
      </c>
      <c r="I7" s="92">
        <f t="shared" ref="I7:I31" si="1">$H$30-H7</f>
        <v>0.41273759319209358</v>
      </c>
    </row>
    <row r="8" spans="2:11" x14ac:dyDescent="0.35">
      <c r="B8" s="136"/>
      <c r="C8" s="100"/>
      <c r="D8" s="88" t="s">
        <v>18</v>
      </c>
      <c r="E8" s="32">
        <v>7.9164539485499255</v>
      </c>
      <c r="F8" s="2">
        <v>7.9498777040368749</v>
      </c>
      <c r="G8" s="49">
        <v>7.8609366207000937</v>
      </c>
      <c r="H8" s="57">
        <f t="shared" si="0"/>
        <v>7.9090894244289656</v>
      </c>
      <c r="I8" s="92">
        <f t="shared" si="1"/>
        <v>-0.35908942442896574</v>
      </c>
    </row>
    <row r="9" spans="2:11" ht="15" thickBot="1" x14ac:dyDescent="0.4">
      <c r="B9" s="138"/>
      <c r="C9" s="101"/>
      <c r="D9" s="89" t="s">
        <v>19</v>
      </c>
      <c r="E9" s="33">
        <v>8.1417632302757887</v>
      </c>
      <c r="F9" s="24">
        <v>8.0982975364946981</v>
      </c>
      <c r="G9" s="50">
        <v>8.1095785469043875</v>
      </c>
      <c r="H9" s="58">
        <f t="shared" si="0"/>
        <v>8.1165464378916248</v>
      </c>
      <c r="I9" s="93">
        <f t="shared" si="1"/>
        <v>-0.56654643789162495</v>
      </c>
    </row>
    <row r="10" spans="2:11" x14ac:dyDescent="0.35">
      <c r="B10" s="137">
        <v>2</v>
      </c>
      <c r="C10" s="125" t="s">
        <v>1</v>
      </c>
      <c r="D10" s="90" t="s">
        <v>16</v>
      </c>
      <c r="E10" s="31">
        <v>7.3877456596088633</v>
      </c>
      <c r="F10" s="11">
        <v>7.344588742578714</v>
      </c>
      <c r="G10" s="48">
        <v>7.3314272965207428</v>
      </c>
      <c r="H10" s="56">
        <f t="shared" si="0"/>
        <v>7.3545872329027731</v>
      </c>
      <c r="I10" s="91">
        <f t="shared" si="1"/>
        <v>0.19541276709722677</v>
      </c>
    </row>
    <row r="11" spans="2:11" x14ac:dyDescent="0.35">
      <c r="B11" s="136"/>
      <c r="C11" s="100"/>
      <c r="D11" s="88" t="s">
        <v>17</v>
      </c>
      <c r="E11" s="32">
        <v>7.6646419755561253</v>
      </c>
      <c r="F11" s="2">
        <v>7.7737864449811935</v>
      </c>
      <c r="G11" s="49">
        <v>7.8407332346118066</v>
      </c>
      <c r="H11" s="57">
        <f t="shared" si="0"/>
        <v>7.7597205517163745</v>
      </c>
      <c r="I11" s="92">
        <f t="shared" si="1"/>
        <v>-0.20972055171637471</v>
      </c>
    </row>
    <row r="12" spans="2:11" x14ac:dyDescent="0.35">
      <c r="B12" s="136"/>
      <c r="C12" s="100"/>
      <c r="D12" s="88" t="s">
        <v>18</v>
      </c>
      <c r="E12" s="32">
        <v>7.8802417758954801</v>
      </c>
      <c r="F12" s="2">
        <v>7.9656719712201065</v>
      </c>
      <c r="G12" s="49">
        <v>7.8609366207000937</v>
      </c>
      <c r="H12" s="57">
        <f t="shared" si="0"/>
        <v>7.9022834559385595</v>
      </c>
      <c r="I12" s="92">
        <f t="shared" si="1"/>
        <v>-0.3522834559385597</v>
      </c>
      <c r="K12" s="79"/>
    </row>
    <row r="13" spans="2:11" ht="15" thickBot="1" x14ac:dyDescent="0.4">
      <c r="B13" s="138"/>
      <c r="C13" s="101"/>
      <c r="D13" s="89" t="s">
        <v>19</v>
      </c>
      <c r="E13" s="33">
        <v>8.0098756337121593</v>
      </c>
      <c r="F13" s="24">
        <v>8.0625819842281636</v>
      </c>
      <c r="G13" s="50">
        <v>8.0982975364946981</v>
      </c>
      <c r="H13" s="58">
        <f t="shared" si="0"/>
        <v>8.0569183848116737</v>
      </c>
      <c r="I13" s="93">
        <f t="shared" si="1"/>
        <v>-0.50691838481167384</v>
      </c>
      <c r="K13" s="79"/>
    </row>
    <row r="14" spans="2:11" x14ac:dyDescent="0.35">
      <c r="B14" s="137">
        <v>3</v>
      </c>
      <c r="C14" s="125" t="s">
        <v>22</v>
      </c>
      <c r="D14" s="90" t="s">
        <v>16</v>
      </c>
      <c r="E14" s="31">
        <v>6.7737864449811935</v>
      </c>
      <c r="F14" s="11">
        <v>6.7972675408307168</v>
      </c>
      <c r="G14" s="48">
        <v>6.8987251815894934</v>
      </c>
      <c r="H14" s="56">
        <f t="shared" ref="H14:H21" si="2">AVERAGE(E14:G14)</f>
        <v>6.8232597224671352</v>
      </c>
      <c r="I14" s="91">
        <f t="shared" si="1"/>
        <v>0.72674027753286463</v>
      </c>
      <c r="K14" s="79"/>
    </row>
    <row r="15" spans="2:11" x14ac:dyDescent="0.35">
      <c r="B15" s="136"/>
      <c r="C15" s="100"/>
      <c r="D15" s="88" t="s">
        <v>17</v>
      </c>
      <c r="E15" s="32">
        <v>7.4216039268698308</v>
      </c>
      <c r="F15" s="2">
        <v>7.5599066250361124</v>
      </c>
      <c r="G15" s="49">
        <v>7.6646419755561253</v>
      </c>
      <c r="H15" s="57">
        <f t="shared" si="2"/>
        <v>7.5487175091540228</v>
      </c>
      <c r="I15" s="92">
        <f t="shared" si="1"/>
        <v>1.2824908459769802E-3</v>
      </c>
      <c r="K15" s="79"/>
    </row>
    <row r="16" spans="2:11" x14ac:dyDescent="0.35">
      <c r="B16" s="136"/>
      <c r="C16" s="100"/>
      <c r="D16" s="88" t="s">
        <v>18</v>
      </c>
      <c r="E16" s="32">
        <v>7.7737864449811935</v>
      </c>
      <c r="F16" s="2">
        <v>7.8802417758954801</v>
      </c>
      <c r="G16" s="49">
        <v>7.9334872878487053</v>
      </c>
      <c r="H16" s="57">
        <f t="shared" si="2"/>
        <v>7.862505169575126</v>
      </c>
      <c r="I16" s="92">
        <f t="shared" si="1"/>
        <v>-0.3125051695751262</v>
      </c>
      <c r="K16" s="79"/>
    </row>
    <row r="17" spans="2:11" ht="15" thickBot="1" x14ac:dyDescent="0.4">
      <c r="B17" s="138"/>
      <c r="C17" s="101"/>
      <c r="D17" s="89" t="s">
        <v>19</v>
      </c>
      <c r="E17" s="33">
        <v>8.0098756337121593</v>
      </c>
      <c r="F17" s="24">
        <v>8.0370278797557742</v>
      </c>
      <c r="G17" s="50">
        <v>8.0499928569201433</v>
      </c>
      <c r="H17" s="58">
        <f t="shared" si="2"/>
        <v>8.0322987901293583</v>
      </c>
      <c r="I17" s="93">
        <f t="shared" si="1"/>
        <v>-0.4822987901293585</v>
      </c>
      <c r="K17" s="79"/>
    </row>
    <row r="18" spans="2:11" x14ac:dyDescent="0.35">
      <c r="B18" s="136">
        <v>4</v>
      </c>
      <c r="C18" s="99" t="s">
        <v>30</v>
      </c>
      <c r="D18" s="90" t="s">
        <v>16</v>
      </c>
      <c r="E18" s="31">
        <v>7.3314272965207428</v>
      </c>
      <c r="F18" s="11">
        <v>7.2819419334408249</v>
      </c>
      <c r="G18" s="48">
        <v>7.3697722885969625</v>
      </c>
      <c r="H18" s="56">
        <f t="shared" si="2"/>
        <v>7.3277138395195101</v>
      </c>
      <c r="I18" s="91">
        <f t="shared" si="1"/>
        <v>0.22228616048048977</v>
      </c>
      <c r="K18" s="79"/>
    </row>
    <row r="19" spans="2:11" x14ac:dyDescent="0.35">
      <c r="B19" s="136"/>
      <c r="C19" s="100"/>
      <c r="D19" s="88" t="s">
        <v>17</v>
      </c>
      <c r="E19" s="32">
        <v>7.5185139398778871</v>
      </c>
      <c r="F19" s="2">
        <v>7.5976951859255122</v>
      </c>
      <c r="G19" s="49">
        <v>7.4216039268698308</v>
      </c>
      <c r="H19" s="57">
        <f t="shared" si="2"/>
        <v>7.5126043508910767</v>
      </c>
      <c r="I19" s="92">
        <f t="shared" si="1"/>
        <v>3.7395649108923124E-2</v>
      </c>
      <c r="K19" s="79"/>
    </row>
    <row r="20" spans="2:11" x14ac:dyDescent="0.35">
      <c r="B20" s="136"/>
      <c r="C20" s="100"/>
      <c r="D20" s="88" t="s">
        <v>18</v>
      </c>
      <c r="E20" s="32">
        <v>7.6946051989335684</v>
      </c>
      <c r="F20" s="2">
        <v>7.8407332346118066</v>
      </c>
      <c r="G20" s="49">
        <v>7.7489628612561612</v>
      </c>
      <c r="H20" s="57">
        <f t="shared" si="2"/>
        <v>7.7614337649338454</v>
      </c>
      <c r="I20" s="92">
        <f t="shared" si="1"/>
        <v>-0.21143376493384558</v>
      </c>
    </row>
    <row r="21" spans="2:11" ht="15" thickBot="1" x14ac:dyDescent="0.4">
      <c r="B21" s="136"/>
      <c r="C21" s="141"/>
      <c r="D21" s="89" t="s">
        <v>19</v>
      </c>
      <c r="E21" s="33">
        <v>7.7737864449811935</v>
      </c>
      <c r="F21" s="24">
        <v>7.8987251815894934</v>
      </c>
      <c r="G21" s="50">
        <v>7.8802417758954801</v>
      </c>
      <c r="H21" s="58">
        <f t="shared" si="2"/>
        <v>7.8509178008220557</v>
      </c>
      <c r="I21" s="93">
        <f t="shared" si="1"/>
        <v>-0.30091780082205588</v>
      </c>
    </row>
    <row r="22" spans="2:11" x14ac:dyDescent="0.35">
      <c r="B22" s="137">
        <v>5</v>
      </c>
      <c r="C22" s="125" t="s">
        <v>31</v>
      </c>
      <c r="D22" s="90" t="s">
        <v>16</v>
      </c>
      <c r="E22" s="31">
        <v>7.0982975364946981</v>
      </c>
      <c r="F22" s="11">
        <v>7.1312977965976225</v>
      </c>
      <c r="G22" s="48">
        <v>7.171726453653231</v>
      </c>
      <c r="H22" s="56">
        <f t="shared" si="0"/>
        <v>7.1337739289151836</v>
      </c>
      <c r="I22" s="91">
        <f t="shared" si="1"/>
        <v>0.41622607108481624</v>
      </c>
    </row>
    <row r="23" spans="2:11" x14ac:dyDescent="0.35">
      <c r="B23" s="136"/>
      <c r="C23" s="100"/>
      <c r="D23" s="88" t="s">
        <v>17</v>
      </c>
      <c r="E23" s="32">
        <v>7.6646419755561253</v>
      </c>
      <c r="F23" s="2">
        <v>7.7737864449811935</v>
      </c>
      <c r="G23" s="49">
        <v>7.8407332346118066</v>
      </c>
      <c r="H23" s="57">
        <f t="shared" si="0"/>
        <v>7.7597205517163745</v>
      </c>
      <c r="I23" s="92">
        <f t="shared" si="1"/>
        <v>-0.20972055171637471</v>
      </c>
    </row>
    <row r="24" spans="2:11" x14ac:dyDescent="0.35">
      <c r="B24" s="136"/>
      <c r="C24" s="100"/>
      <c r="D24" s="88" t="s">
        <v>18</v>
      </c>
      <c r="E24" s="32">
        <v>7.9164539485499255</v>
      </c>
      <c r="F24" s="2">
        <v>7.8407332346118066</v>
      </c>
      <c r="G24" s="49">
        <v>7.9498777040368749</v>
      </c>
      <c r="H24" s="57">
        <f t="shared" si="0"/>
        <v>7.9023549623995359</v>
      </c>
      <c r="I24" s="92">
        <f t="shared" si="1"/>
        <v>-0.35235496239953612</v>
      </c>
    </row>
    <row r="25" spans="2:11" ht="15" thickBot="1" x14ac:dyDescent="0.4">
      <c r="B25" s="138"/>
      <c r="C25" s="101"/>
      <c r="D25" s="89" t="s">
        <v>19</v>
      </c>
      <c r="E25" s="33">
        <v>8.0236639181977942</v>
      </c>
      <c r="F25" s="24">
        <v>8.0625819842281636</v>
      </c>
      <c r="G25" s="50">
        <v>8.1312977965976234</v>
      </c>
      <c r="H25" s="58">
        <f t="shared" si="0"/>
        <v>8.0725145663411926</v>
      </c>
      <c r="I25" s="93">
        <f t="shared" si="1"/>
        <v>-0.52251456634119275</v>
      </c>
    </row>
    <row r="26" spans="2:11" x14ac:dyDescent="0.35">
      <c r="B26" s="137">
        <v>6</v>
      </c>
      <c r="C26" s="125" t="s">
        <v>23</v>
      </c>
      <c r="D26" s="90" t="s">
        <v>16</v>
      </c>
      <c r="E26" s="31">
        <v>6.8987251815894934</v>
      </c>
      <c r="F26" s="11">
        <v>6.8609366207000937</v>
      </c>
      <c r="G26" s="48">
        <v>6.9498777040368749</v>
      </c>
      <c r="H26" s="56">
        <f>AVERAGE(E26:G26)</f>
        <v>6.9031798354421534</v>
      </c>
      <c r="I26" s="91">
        <f t="shared" si="1"/>
        <v>0.64682016455784641</v>
      </c>
    </row>
    <row r="27" spans="2:11" x14ac:dyDescent="0.35">
      <c r="B27" s="136"/>
      <c r="C27" s="100"/>
      <c r="D27" s="88" t="s">
        <v>17</v>
      </c>
      <c r="E27" s="32">
        <v>7.4727564493172123</v>
      </c>
      <c r="F27" s="2">
        <v>7.54</v>
      </c>
      <c r="G27" s="49">
        <v>7.68</v>
      </c>
      <c r="H27" s="57">
        <f>AVERAGE(E27:G27)</f>
        <v>7.564252149772404</v>
      </c>
      <c r="I27" s="92">
        <f>$H$30-H27</f>
        <v>-1.4252149772404188E-2</v>
      </c>
    </row>
    <row r="28" spans="2:11" x14ac:dyDescent="0.35">
      <c r="B28" s="136"/>
      <c r="C28" s="100"/>
      <c r="D28" s="88" t="s">
        <v>18</v>
      </c>
      <c r="E28" s="32">
        <v>7.8407332346118066</v>
      </c>
      <c r="F28" s="2">
        <v>7.7737864449811935</v>
      </c>
      <c r="G28" s="49">
        <v>7.8987251815894934</v>
      </c>
      <c r="H28" s="57">
        <f>AVERAGE(E28:G28)</f>
        <v>7.8377482870608306</v>
      </c>
      <c r="I28" s="92">
        <f t="shared" si="1"/>
        <v>-0.28774828706083078</v>
      </c>
    </row>
    <row r="29" spans="2:11" ht="15" thickBot="1" x14ac:dyDescent="0.4">
      <c r="B29" s="138"/>
      <c r="C29" s="101"/>
      <c r="D29" s="89" t="s">
        <v>19</v>
      </c>
      <c r="E29" s="87">
        <v>8.0098756337121593</v>
      </c>
      <c r="F29" s="67">
        <v>7.9164539485499255</v>
      </c>
      <c r="G29" s="77">
        <v>7.9656719712201065</v>
      </c>
      <c r="H29" s="65">
        <f>AVERAGE(E29:G29)</f>
        <v>7.9640005178273974</v>
      </c>
      <c r="I29" s="94">
        <f t="shared" si="1"/>
        <v>-0.41400051782739755</v>
      </c>
    </row>
    <row r="30" spans="2:11" x14ac:dyDescent="0.35">
      <c r="B30" s="136" t="s">
        <v>26</v>
      </c>
      <c r="C30" s="131" t="s">
        <v>27</v>
      </c>
      <c r="D30" s="132"/>
      <c r="E30" s="31">
        <v>7.567731962548069</v>
      </c>
      <c r="F30" s="11">
        <v>7.5097400155703822</v>
      </c>
      <c r="G30" s="48">
        <v>7.5519376953648374</v>
      </c>
      <c r="H30" s="56">
        <v>7.55</v>
      </c>
      <c r="I30" s="56">
        <f t="shared" si="1"/>
        <v>0</v>
      </c>
    </row>
    <row r="31" spans="2:11" ht="15" thickBot="1" x14ac:dyDescent="0.4">
      <c r="B31" s="138"/>
      <c r="C31" s="139" t="s">
        <v>28</v>
      </c>
      <c r="D31" s="140"/>
      <c r="E31" s="33">
        <v>8.1812717715594623</v>
      </c>
      <c r="F31" s="24">
        <v>8.1519823954574733</v>
      </c>
      <c r="G31" s="50">
        <v>8.2260841159758247</v>
      </c>
      <c r="H31" s="58">
        <v>8.1864460943309201</v>
      </c>
      <c r="I31" s="58">
        <f t="shared" si="1"/>
        <v>-0.63644609433092025</v>
      </c>
      <c r="J31" s="79"/>
      <c r="K31" s="79"/>
    </row>
    <row r="32" spans="2:11" x14ac:dyDescent="0.35">
      <c r="J32" s="79"/>
    </row>
    <row r="33" spans="10:10" x14ac:dyDescent="0.35">
      <c r="J33" s="79"/>
    </row>
  </sheetData>
  <mergeCells count="17">
    <mergeCell ref="B26:B29"/>
    <mergeCell ref="C26:C29"/>
    <mergeCell ref="B30:B31"/>
    <mergeCell ref="C30:D30"/>
    <mergeCell ref="C31:D31"/>
    <mergeCell ref="B14:B17"/>
    <mergeCell ref="C14:C17"/>
    <mergeCell ref="B18:B21"/>
    <mergeCell ref="C18:C21"/>
    <mergeCell ref="B22:B25"/>
    <mergeCell ref="C22:C25"/>
    <mergeCell ref="E4:H4"/>
    <mergeCell ref="I4:I5"/>
    <mergeCell ref="B6:B9"/>
    <mergeCell ref="C6:C9"/>
    <mergeCell ref="B10:B13"/>
    <mergeCell ref="C10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9C70-EA57-441F-BE6D-9E0A4063F6EB}">
  <dimension ref="A1:C23"/>
  <sheetViews>
    <sheetView workbookViewId="0"/>
  </sheetViews>
  <sheetFormatPr defaultRowHeight="14.5" x14ac:dyDescent="0.35"/>
  <cols>
    <col min="2" max="2" width="20.1796875" bestFit="1" customWidth="1"/>
    <col min="3" max="3" width="12.08984375" customWidth="1"/>
  </cols>
  <sheetData>
    <row r="1" spans="1:3" s="148" customFormat="1" x14ac:dyDescent="0.35">
      <c r="A1" s="148" t="s">
        <v>38</v>
      </c>
    </row>
    <row r="2" spans="1:3" s="148" customFormat="1" ht="15" thickBot="1" x14ac:dyDescent="0.4"/>
    <row r="3" spans="1:3" ht="15" thickBot="1" x14ac:dyDescent="0.4">
      <c r="B3" s="8" t="s">
        <v>32</v>
      </c>
      <c r="C3" s="22" t="s">
        <v>33</v>
      </c>
    </row>
    <row r="4" spans="1:3" x14ac:dyDescent="0.35">
      <c r="B4" s="142" t="s">
        <v>34</v>
      </c>
      <c r="C4" s="96">
        <v>260000</v>
      </c>
    </row>
    <row r="5" spans="1:3" x14ac:dyDescent="0.35">
      <c r="B5" s="143"/>
      <c r="C5" s="97">
        <v>1320000</v>
      </c>
    </row>
    <row r="6" spans="1:3" x14ac:dyDescent="0.35">
      <c r="B6" s="143"/>
      <c r="C6" s="97">
        <v>240000</v>
      </c>
    </row>
    <row r="7" spans="1:3" x14ac:dyDescent="0.35">
      <c r="B7" s="143"/>
      <c r="C7" s="97">
        <v>240000</v>
      </c>
    </row>
    <row r="8" spans="1:3" ht="15" thickBot="1" x14ac:dyDescent="0.4">
      <c r="B8" s="144"/>
      <c r="C8" s="98">
        <v>280000</v>
      </c>
    </row>
    <row r="9" spans="1:3" x14ac:dyDescent="0.35">
      <c r="B9" s="142" t="s">
        <v>35</v>
      </c>
      <c r="C9" s="96">
        <v>1400000</v>
      </c>
    </row>
    <row r="10" spans="1:3" ht="15" thickBot="1" x14ac:dyDescent="0.4">
      <c r="B10" s="144"/>
      <c r="C10" s="98">
        <v>500000</v>
      </c>
    </row>
    <row r="11" spans="1:3" x14ac:dyDescent="0.35">
      <c r="B11" s="145" t="s">
        <v>0</v>
      </c>
      <c r="C11" s="96">
        <v>98000</v>
      </c>
    </row>
    <row r="12" spans="1:3" x14ac:dyDescent="0.35">
      <c r="B12" s="146"/>
      <c r="C12" s="97">
        <v>28000</v>
      </c>
    </row>
    <row r="13" spans="1:3" x14ac:dyDescent="0.35">
      <c r="B13" s="146"/>
      <c r="C13" s="97">
        <v>39000</v>
      </c>
    </row>
    <row r="14" spans="1:3" ht="15" thickBot="1" x14ac:dyDescent="0.4">
      <c r="B14" s="147"/>
      <c r="C14" s="98">
        <v>28000</v>
      </c>
    </row>
    <row r="15" spans="1:3" x14ac:dyDescent="0.35">
      <c r="B15" s="142" t="s">
        <v>36</v>
      </c>
      <c r="C15" s="96">
        <v>4600</v>
      </c>
    </row>
    <row r="16" spans="1:3" x14ac:dyDescent="0.35">
      <c r="B16" s="143"/>
      <c r="C16" s="97">
        <v>1110</v>
      </c>
    </row>
    <row r="17" spans="2:3" x14ac:dyDescent="0.35">
      <c r="B17" s="143"/>
      <c r="C17" s="97">
        <v>8400</v>
      </c>
    </row>
    <row r="18" spans="2:3" x14ac:dyDescent="0.35">
      <c r="B18" s="143"/>
      <c r="C18" s="97">
        <v>3000</v>
      </c>
    </row>
    <row r="19" spans="2:3" ht="15" thickBot="1" x14ac:dyDescent="0.4">
      <c r="B19" s="144"/>
      <c r="C19" s="98">
        <v>16000</v>
      </c>
    </row>
    <row r="20" spans="2:3" x14ac:dyDescent="0.35">
      <c r="B20" s="145" t="s">
        <v>37</v>
      </c>
      <c r="C20" s="96">
        <v>2220</v>
      </c>
    </row>
    <row r="21" spans="2:3" x14ac:dyDescent="0.35">
      <c r="B21" s="146"/>
      <c r="C21" s="97">
        <v>740</v>
      </c>
    </row>
    <row r="22" spans="2:3" x14ac:dyDescent="0.35">
      <c r="B22" s="146"/>
      <c r="C22" s="97">
        <v>150</v>
      </c>
    </row>
    <row r="23" spans="2:3" ht="15" thickBot="1" x14ac:dyDescent="0.4">
      <c r="B23" s="147"/>
      <c r="C23" s="98">
        <v>480</v>
      </c>
    </row>
  </sheetData>
  <mergeCells count="5">
    <mergeCell ref="B4:B8"/>
    <mergeCell ref="B9:B10"/>
    <mergeCell ref="B11:B14"/>
    <mergeCell ref="B15:B19"/>
    <mergeCell ref="B20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Kill kinetics</vt:lpstr>
      <vt:lpstr>Intracellular efficacy</vt:lpstr>
      <vt:lpstr>Biofilm 1</vt:lpstr>
      <vt:lpstr>Biofilm 2</vt:lpstr>
      <vt:lpstr>In-vivo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Parvinder Kaur</cp:lastModifiedBy>
  <dcterms:created xsi:type="dcterms:W3CDTF">2015-06-05T18:17:20Z</dcterms:created>
  <dcterms:modified xsi:type="dcterms:W3CDTF">2024-08-01T11:02:27Z</dcterms:modified>
</cp:coreProperties>
</file>