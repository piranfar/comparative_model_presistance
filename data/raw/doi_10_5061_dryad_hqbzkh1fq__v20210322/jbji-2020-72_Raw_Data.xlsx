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Acctive Paul\paul_s\papers2019\"/>
    </mc:Choice>
  </mc:AlternateContent>
  <xr:revisionPtr revIDLastSave="0" documentId="8_{1E721924-6611-45F6-B386-0CECF60637E5}" xr6:coauthVersionLast="46" xr6:coauthVersionMax="46" xr10:uidLastSave="{00000000-0000-0000-0000-000000000000}"/>
  <bookViews>
    <workbookView xWindow="2307" yWindow="1507" windowWidth="22800" windowHeight="11646" xr2:uid="{67E8AA95-5DAC-4DC6-82AC-5D3FCBA11ED8}"/>
  </bookViews>
  <sheets>
    <sheet name="Xen41 CFU's" sheetId="1" r:id="rId1"/>
    <sheet name="3 Day Biofilm CFU'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45" i="1" l="1"/>
  <c r="M11" i="1"/>
  <c r="U45" i="1"/>
  <c r="T45" i="1"/>
  <c r="Q47" i="1"/>
  <c r="Q46" i="1"/>
  <c r="R46" i="1"/>
  <c r="S46" i="1"/>
  <c r="R47" i="1"/>
  <c r="S47" i="1"/>
  <c r="Q49" i="1"/>
  <c r="R49" i="1"/>
  <c r="S49" i="1"/>
  <c r="Q50" i="1"/>
  <c r="R50" i="1"/>
  <c r="S50" i="1"/>
  <c r="Q51" i="1"/>
  <c r="R51" i="1"/>
  <c r="S51" i="1"/>
  <c r="Q53" i="1"/>
  <c r="R53" i="1"/>
  <c r="S53" i="1"/>
  <c r="Q54" i="1"/>
  <c r="R54" i="1"/>
  <c r="S54" i="1"/>
  <c r="Q55" i="1"/>
  <c r="R55" i="1"/>
  <c r="S55" i="1"/>
  <c r="Q57" i="1"/>
  <c r="R57" i="1"/>
  <c r="S57" i="1"/>
  <c r="Q58" i="1"/>
  <c r="R58" i="1"/>
  <c r="S58" i="1"/>
  <c r="Q59" i="1"/>
  <c r="R59" i="1"/>
  <c r="S59" i="1"/>
  <c r="R45" i="1"/>
  <c r="S45" i="1"/>
  <c r="V59" i="1"/>
  <c r="U59" i="1"/>
  <c r="T59" i="1"/>
  <c r="T58" i="1"/>
  <c r="V58" i="1"/>
  <c r="U58" i="1"/>
  <c r="U57" i="1"/>
  <c r="V57" i="1"/>
  <c r="T57" i="1"/>
  <c r="V55" i="1"/>
  <c r="U55" i="1"/>
  <c r="T55" i="1"/>
  <c r="V54" i="1"/>
  <c r="U54" i="1"/>
  <c r="T54" i="1"/>
  <c r="T53" i="1"/>
  <c r="V53" i="1"/>
  <c r="U53" i="1"/>
  <c r="U51" i="1"/>
  <c r="V51" i="1"/>
  <c r="T51" i="1"/>
  <c r="V50" i="1"/>
  <c r="T50" i="1"/>
  <c r="U50" i="1"/>
  <c r="U49" i="1"/>
  <c r="V49" i="1"/>
  <c r="T49" i="1"/>
  <c r="V47" i="1"/>
  <c r="T47" i="1"/>
  <c r="U47" i="1"/>
  <c r="U46" i="1"/>
  <c r="V46" i="1"/>
  <c r="T46" i="1"/>
  <c r="V45" i="1"/>
  <c r="K7" i="1"/>
  <c r="N7" i="2"/>
  <c r="K11" i="1"/>
  <c r="K43" i="1" l="1"/>
  <c r="H57" i="1"/>
  <c r="G57" i="1"/>
  <c r="F57" i="1"/>
  <c r="H56" i="1"/>
  <c r="G56" i="1"/>
  <c r="F56" i="1"/>
  <c r="H55" i="1"/>
  <c r="G55" i="1"/>
  <c r="F55" i="1"/>
  <c r="H53" i="1"/>
  <c r="H52" i="1"/>
  <c r="H51" i="1"/>
  <c r="G51" i="1"/>
  <c r="F51" i="1"/>
  <c r="H49" i="1"/>
  <c r="G47" i="1"/>
  <c r="H48" i="1"/>
  <c r="G48" i="1"/>
  <c r="F48" i="1"/>
  <c r="H47" i="1"/>
  <c r="F47" i="1"/>
  <c r="F44" i="1"/>
  <c r="G44" i="1"/>
  <c r="H44" i="1"/>
  <c r="F45" i="1"/>
  <c r="G45" i="1"/>
  <c r="H45" i="1"/>
  <c r="G43" i="1"/>
  <c r="H43" i="1"/>
  <c r="F43" i="1"/>
  <c r="K25" i="1"/>
  <c r="F37" i="1"/>
  <c r="G37" i="1"/>
  <c r="F29" i="1"/>
  <c r="G29" i="1"/>
  <c r="F26" i="1"/>
  <c r="G26" i="1"/>
  <c r="F25" i="1"/>
  <c r="G25" i="1"/>
  <c r="E60" i="1"/>
  <c r="F7" i="1"/>
  <c r="O7" i="2"/>
  <c r="I6" i="2"/>
  <c r="L4" i="2"/>
  <c r="M8" i="2"/>
  <c r="M9" i="2"/>
  <c r="M10" i="2"/>
  <c r="M7" i="2"/>
  <c r="K7" i="2"/>
  <c r="H7" i="2"/>
  <c r="J55" i="1" l="1"/>
  <c r="AB28" i="1"/>
  <c r="AB31" i="1"/>
  <c r="AB32" i="1"/>
  <c r="AB40" i="1"/>
  <c r="Z19" i="1"/>
  <c r="AA19" i="1" l="1"/>
  <c r="AB19" i="1" s="1"/>
  <c r="H19" i="1" l="1"/>
  <c r="H20" i="1"/>
  <c r="H21" i="1"/>
  <c r="H15" i="1"/>
  <c r="H16" i="1"/>
  <c r="H17" i="1"/>
  <c r="H13" i="1"/>
  <c r="H11" i="1"/>
  <c r="H12" i="1"/>
  <c r="K49" i="1"/>
  <c r="K29" i="1" l="1"/>
  <c r="K27" i="1"/>
  <c r="K26" i="1"/>
  <c r="H34" i="1"/>
  <c r="H33" i="1"/>
  <c r="H30" i="1"/>
  <c r="H31" i="1"/>
  <c r="H29" i="1"/>
  <c r="H27" i="1"/>
  <c r="H26" i="1"/>
  <c r="J26" i="1" s="1"/>
  <c r="H25" i="1"/>
  <c r="H37" i="1"/>
  <c r="H38" i="1"/>
  <c r="H39" i="1"/>
  <c r="H35" i="1"/>
  <c r="G30" i="1"/>
  <c r="I25" i="1" l="1"/>
  <c r="J25" i="1"/>
  <c r="I26" i="1"/>
  <c r="K38" i="1"/>
  <c r="I51" i="1" l="1"/>
  <c r="N2" i="1"/>
  <c r="O2" i="1" s="1"/>
  <c r="P2" i="1"/>
  <c r="Q2" i="1" s="1"/>
  <c r="Q9" i="1" l="1"/>
  <c r="T9" i="1" s="1"/>
  <c r="L7" i="1"/>
  <c r="Q29" i="1"/>
  <c r="T29" i="1" s="1"/>
  <c r="R31" i="1"/>
  <c r="U31" i="1" s="1"/>
  <c r="S32" i="1"/>
  <c r="V32" i="1" s="1"/>
  <c r="R35" i="1"/>
  <c r="U35" i="1" s="1"/>
  <c r="S36" i="1"/>
  <c r="V36" i="1" s="1"/>
  <c r="Q39" i="1"/>
  <c r="T39" i="1" s="1"/>
  <c r="R40" i="1"/>
  <c r="U40" i="1" s="1"/>
  <c r="S41" i="1"/>
  <c r="V41" i="1" s="1"/>
  <c r="R9" i="1"/>
  <c r="U9" i="1" s="1"/>
  <c r="R10" i="1"/>
  <c r="U10" i="1" s="1"/>
  <c r="Q13" i="1"/>
  <c r="T13" i="1" s="1"/>
  <c r="R14" i="1"/>
  <c r="S15" i="1"/>
  <c r="Q18" i="1"/>
  <c r="R19" i="1"/>
  <c r="S21" i="1"/>
  <c r="Q23" i="1"/>
  <c r="T23" i="1" s="1"/>
  <c r="L11" i="1"/>
  <c r="Q28" i="1"/>
  <c r="T28" i="1" s="1"/>
  <c r="R29" i="1"/>
  <c r="U29" i="1" s="1"/>
  <c r="S31" i="1"/>
  <c r="V31" i="1" s="1"/>
  <c r="R33" i="1"/>
  <c r="U33" i="1" s="1"/>
  <c r="S35" i="1"/>
  <c r="V35" i="1" s="1"/>
  <c r="Q37" i="1"/>
  <c r="T37" i="1" s="1"/>
  <c r="R39" i="1"/>
  <c r="U39" i="1" s="1"/>
  <c r="S40" i="1"/>
  <c r="V40" i="1" s="1"/>
  <c r="R27" i="1"/>
  <c r="U27" i="1" s="1"/>
  <c r="S10" i="1"/>
  <c r="R13" i="1"/>
  <c r="U13" i="1" s="1"/>
  <c r="S14" i="1"/>
  <c r="V14" i="1" s="1"/>
  <c r="Q17" i="1"/>
  <c r="T17" i="1" s="1"/>
  <c r="R18" i="1"/>
  <c r="S19" i="1"/>
  <c r="V19" i="1" s="1"/>
  <c r="Q22" i="1"/>
  <c r="T22" i="1" s="1"/>
  <c r="R23" i="1"/>
  <c r="R28" i="1"/>
  <c r="U28" i="1" s="1"/>
  <c r="S29" i="1"/>
  <c r="V29" i="1" s="1"/>
  <c r="Q32" i="1"/>
  <c r="T32" i="1" s="1"/>
  <c r="S33" i="1"/>
  <c r="V33" i="1" s="1"/>
  <c r="Q36" i="1"/>
  <c r="T36" i="1" s="1"/>
  <c r="R37" i="1"/>
  <c r="U37" i="1" s="1"/>
  <c r="S39" i="1"/>
  <c r="V39" i="1" s="1"/>
  <c r="Q41" i="1"/>
  <c r="T41" i="1" s="1"/>
  <c r="S27" i="1"/>
  <c r="V27" i="1" s="1"/>
  <c r="S11" i="1"/>
  <c r="V11" i="1" s="1"/>
  <c r="Q11" i="1"/>
  <c r="S13" i="1"/>
  <c r="Q15" i="1"/>
  <c r="R17" i="1"/>
  <c r="S18" i="1"/>
  <c r="Q21" i="1"/>
  <c r="T21" i="1" s="1"/>
  <c r="R22" i="1"/>
  <c r="S23" i="1"/>
  <c r="Q33" i="1"/>
  <c r="T33" i="1" s="1"/>
  <c r="S28" i="1"/>
  <c r="V28" i="1" s="1"/>
  <c r="Q31" i="1"/>
  <c r="T31" i="1" s="1"/>
  <c r="R32" i="1"/>
  <c r="U32" i="1" s="1"/>
  <c r="Q35" i="1"/>
  <c r="T35" i="1" s="1"/>
  <c r="R36" i="1"/>
  <c r="U36" i="1" s="1"/>
  <c r="S37" i="1"/>
  <c r="V37" i="1" s="1"/>
  <c r="Q40" i="1"/>
  <c r="T40" i="1" s="1"/>
  <c r="R41" i="1"/>
  <c r="U41" i="1" s="1"/>
  <c r="Q27" i="1"/>
  <c r="T27" i="1" s="1"/>
  <c r="Q10" i="1"/>
  <c r="T10" i="1" s="1"/>
  <c r="R11" i="1"/>
  <c r="Q14" i="1"/>
  <c r="T14" i="1" s="1"/>
  <c r="R15" i="1"/>
  <c r="S17" i="1"/>
  <c r="Q19" i="1"/>
  <c r="R21" i="1"/>
  <c r="U21" i="1" s="1"/>
  <c r="S22" i="1"/>
  <c r="S9" i="1"/>
  <c r="V9" i="1" s="1"/>
  <c r="L25" i="1"/>
  <c r="L43" i="1"/>
  <c r="M43" i="1" s="1"/>
  <c r="M7" i="1"/>
  <c r="F60" i="1"/>
  <c r="G60" i="1" s="1"/>
  <c r="L49" i="1"/>
  <c r="M49" i="1" s="1"/>
  <c r="L26" i="1"/>
  <c r="L27" i="1"/>
  <c r="L29" i="1"/>
  <c r="L38" i="1"/>
  <c r="M38" i="1" s="1"/>
  <c r="M25" i="1"/>
  <c r="T19" i="1"/>
  <c r="V18" i="1"/>
  <c r="V17" i="1"/>
  <c r="T15" i="1"/>
  <c r="V13" i="1"/>
  <c r="U11" i="1"/>
  <c r="U23" i="1"/>
  <c r="U19" i="1"/>
  <c r="U15" i="1"/>
  <c r="V10" i="1"/>
  <c r="U22" i="1"/>
  <c r="V23" i="1"/>
  <c r="T18" i="1"/>
  <c r="U14" i="1"/>
  <c r="V15" i="1"/>
  <c r="T11" i="1"/>
  <c r="V22" i="1"/>
  <c r="V21" i="1"/>
  <c r="U17" i="1"/>
  <c r="U18" i="1"/>
  <c r="M29" i="1"/>
  <c r="M26" i="1"/>
  <c r="M27" i="1"/>
  <c r="K8" i="1"/>
  <c r="L8" i="1" s="1"/>
  <c r="K57" i="1"/>
  <c r="L57" i="1" s="1"/>
  <c r="M57" i="1" s="1"/>
  <c r="K56" i="1"/>
  <c r="L56" i="1" s="1"/>
  <c r="M56" i="1" s="1"/>
  <c r="K55" i="1"/>
  <c r="L55" i="1" s="1"/>
  <c r="M55" i="1" s="1"/>
  <c r="K53" i="1"/>
  <c r="L53" i="1" s="1"/>
  <c r="M53" i="1" s="1"/>
  <c r="K52" i="1"/>
  <c r="K51" i="1"/>
  <c r="L51" i="1" s="1"/>
  <c r="M51" i="1" s="1"/>
  <c r="K48" i="1"/>
  <c r="L48" i="1" s="1"/>
  <c r="M48" i="1" s="1"/>
  <c r="K47" i="1"/>
  <c r="L47" i="1" s="1"/>
  <c r="M47" i="1" s="1"/>
  <c r="K45" i="1"/>
  <c r="L45" i="1" s="1"/>
  <c r="M45" i="1" s="1"/>
  <c r="K44" i="1"/>
  <c r="L44" i="1" s="1"/>
  <c r="M44" i="1" s="1"/>
  <c r="K39" i="1"/>
  <c r="L39" i="1" s="1"/>
  <c r="K37" i="1"/>
  <c r="K35" i="1"/>
  <c r="L35" i="1" s="1"/>
  <c r="K34" i="1"/>
  <c r="L34" i="1" s="1"/>
  <c r="K33" i="1"/>
  <c r="L33" i="1" s="1"/>
  <c r="K31" i="1"/>
  <c r="L31" i="1" s="1"/>
  <c r="K30" i="1"/>
  <c r="K21" i="1"/>
  <c r="K20" i="1"/>
  <c r="L20" i="1" s="1"/>
  <c r="K19" i="1"/>
  <c r="L19" i="1" s="1"/>
  <c r="K17" i="1"/>
  <c r="L17" i="1" s="1"/>
  <c r="K16" i="1"/>
  <c r="K15" i="1"/>
  <c r="L15" i="1" s="1"/>
  <c r="M15" i="1" s="1"/>
  <c r="K13" i="1"/>
  <c r="L13" i="1" s="1"/>
  <c r="K12" i="1"/>
  <c r="L12" i="1" s="1"/>
  <c r="K9" i="1"/>
  <c r="K4" i="2"/>
  <c r="M4" i="2" s="1"/>
  <c r="F11" i="1"/>
  <c r="X31" i="1" l="1"/>
  <c r="W13" i="1"/>
  <c r="X35" i="1"/>
  <c r="W35" i="1"/>
  <c r="W17" i="1"/>
  <c r="W9" i="1"/>
  <c r="W27" i="1"/>
  <c r="M37" i="1"/>
  <c r="L37" i="1"/>
  <c r="L9" i="1"/>
  <c r="M9" i="1" s="1"/>
  <c r="W11" i="1" s="1"/>
  <c r="L16" i="1"/>
  <c r="M16" i="1" s="1"/>
  <c r="L21" i="1"/>
  <c r="M21" i="1" s="1"/>
  <c r="L30" i="1"/>
  <c r="M30" i="1" s="1"/>
  <c r="L52" i="1"/>
  <c r="M52" i="1" s="1"/>
  <c r="X9" i="1"/>
  <c r="AA9" i="1" s="1"/>
  <c r="AB9" i="1" s="1"/>
  <c r="Y9" i="1"/>
  <c r="X27" i="1"/>
  <c r="Y27" i="1"/>
  <c r="M39" i="1"/>
  <c r="M34" i="1"/>
  <c r="M35" i="1"/>
  <c r="M31" i="1"/>
  <c r="M33" i="1"/>
  <c r="M8" i="1"/>
  <c r="M19" i="1"/>
  <c r="W21" i="1" s="1"/>
  <c r="M13" i="1"/>
  <c r="M20" i="1"/>
  <c r="W40" i="1" s="1"/>
  <c r="M12" i="1"/>
  <c r="M17" i="1"/>
  <c r="J57" i="1"/>
  <c r="I57" i="1"/>
  <c r="J56" i="1"/>
  <c r="I56" i="1"/>
  <c r="I55" i="1"/>
  <c r="J51" i="1"/>
  <c r="J48" i="1"/>
  <c r="I48" i="1"/>
  <c r="J47" i="1"/>
  <c r="I47" i="1"/>
  <c r="J45" i="1"/>
  <c r="I45" i="1"/>
  <c r="J44" i="1"/>
  <c r="I44" i="1"/>
  <c r="J43" i="1"/>
  <c r="I43" i="1"/>
  <c r="J37" i="1"/>
  <c r="I37" i="1"/>
  <c r="J29" i="1"/>
  <c r="I29" i="1"/>
  <c r="G53" i="1"/>
  <c r="F53" i="1"/>
  <c r="G52" i="1"/>
  <c r="F52" i="1"/>
  <c r="G49" i="1"/>
  <c r="F49" i="1"/>
  <c r="G39" i="1"/>
  <c r="F39" i="1"/>
  <c r="G38" i="1"/>
  <c r="F38" i="1"/>
  <c r="G35" i="1"/>
  <c r="F35" i="1"/>
  <c r="G34" i="1"/>
  <c r="F34" i="1"/>
  <c r="G33" i="1"/>
  <c r="F33" i="1"/>
  <c r="G31" i="1"/>
  <c r="F31" i="1"/>
  <c r="F30" i="1"/>
  <c r="G27" i="1"/>
  <c r="F27" i="1"/>
  <c r="G21" i="1"/>
  <c r="F21" i="1"/>
  <c r="I21" i="1" s="1"/>
  <c r="G20" i="1"/>
  <c r="F20" i="1"/>
  <c r="G19" i="1"/>
  <c r="F19" i="1"/>
  <c r="G17" i="1"/>
  <c r="F17" i="1"/>
  <c r="G16" i="1"/>
  <c r="F16" i="1"/>
  <c r="I16" i="1" s="1"/>
  <c r="G15" i="1"/>
  <c r="F15" i="1"/>
  <c r="G13" i="1"/>
  <c r="F13" i="1"/>
  <c r="G12" i="1"/>
  <c r="F12" i="1"/>
  <c r="F8" i="1"/>
  <c r="G8" i="1"/>
  <c r="H8" i="1"/>
  <c r="F9" i="1"/>
  <c r="G9" i="1"/>
  <c r="H9" i="1"/>
  <c r="H7" i="1"/>
  <c r="G7" i="1"/>
  <c r="I7" i="1" s="1"/>
  <c r="G11" i="1"/>
  <c r="W36" i="1" l="1"/>
  <c r="W18" i="1"/>
  <c r="X36" i="1"/>
  <c r="N15" i="1"/>
  <c r="X22" i="1"/>
  <c r="Y22" i="1"/>
  <c r="Y37" i="1"/>
  <c r="X37" i="1"/>
  <c r="Z37" i="1" s="1"/>
  <c r="W37" i="1"/>
  <c r="W22" i="1"/>
  <c r="AC9" i="1"/>
  <c r="N7" i="1"/>
  <c r="Y41" i="1"/>
  <c r="X41" i="1"/>
  <c r="W41" i="1"/>
  <c r="N11" i="1"/>
  <c r="X13" i="1"/>
  <c r="W31" i="1"/>
  <c r="Y13" i="1"/>
  <c r="Y31" i="1"/>
  <c r="W29" i="1"/>
  <c r="X29" i="1"/>
  <c r="Y29" i="1"/>
  <c r="X11" i="1"/>
  <c r="J53" i="1"/>
  <c r="I53" i="1"/>
  <c r="Y18" i="1"/>
  <c r="AC19" i="1"/>
  <c r="N19" i="1"/>
  <c r="Y36" i="1"/>
  <c r="J7" i="1"/>
  <c r="I12" i="1"/>
  <c r="X18" i="1"/>
  <c r="Z27" i="1"/>
  <c r="X40" i="1"/>
  <c r="W10" i="1"/>
  <c r="X28" i="1"/>
  <c r="W28" i="1"/>
  <c r="X10" i="1"/>
  <c r="Y10" i="1"/>
  <c r="Z9" i="1"/>
  <c r="Y40" i="1"/>
  <c r="Y28" i="1"/>
  <c r="Z23" i="1"/>
  <c r="AA23" i="1"/>
  <c r="AB23" i="1" s="1"/>
  <c r="Y39" i="1"/>
  <c r="X21" i="1"/>
  <c r="Y21" i="1"/>
  <c r="X39" i="1"/>
  <c r="W39" i="1"/>
  <c r="AA27" i="1"/>
  <c r="AB27" i="1" s="1"/>
  <c r="X15" i="1"/>
  <c r="W15" i="1"/>
  <c r="W33" i="1"/>
  <c r="Y33" i="1"/>
  <c r="X33" i="1"/>
  <c r="Y32" i="1"/>
  <c r="W14" i="1"/>
  <c r="W32" i="1"/>
  <c r="X14" i="1"/>
  <c r="Y14" i="1"/>
  <c r="X32" i="1"/>
  <c r="AA36" i="1"/>
  <c r="AB36" i="1" s="1"/>
  <c r="AA37" i="1"/>
  <c r="AB37" i="1" s="1"/>
  <c r="Y17" i="1"/>
  <c r="Y35" i="1"/>
  <c r="X17" i="1"/>
  <c r="J38" i="1"/>
  <c r="J49" i="1"/>
  <c r="I49" i="1"/>
  <c r="J33" i="1"/>
  <c r="I52" i="1"/>
  <c r="J12" i="1"/>
  <c r="J17" i="1"/>
  <c r="I27" i="1"/>
  <c r="I13" i="1"/>
  <c r="J19" i="1"/>
  <c r="J30" i="1"/>
  <c r="I35" i="1"/>
  <c r="I9" i="1"/>
  <c r="I20" i="1"/>
  <c r="J31" i="1"/>
  <c r="J13" i="1"/>
  <c r="I19" i="1"/>
  <c r="J11" i="1"/>
  <c r="J15" i="1"/>
  <c r="J8" i="1"/>
  <c r="I31" i="1"/>
  <c r="J27" i="1"/>
  <c r="J34" i="1"/>
  <c r="J20" i="1"/>
  <c r="I38" i="1"/>
  <c r="J9" i="1"/>
  <c r="J52" i="1"/>
  <c r="J16" i="1"/>
  <c r="J21" i="1"/>
  <c r="J35" i="1"/>
  <c r="I17" i="1"/>
  <c r="I30" i="1"/>
  <c r="I8" i="1"/>
  <c r="I11" i="1"/>
  <c r="J39" i="1"/>
  <c r="I33" i="1"/>
  <c r="I39" i="1"/>
  <c r="I34" i="1"/>
  <c r="I15" i="1"/>
  <c r="H8" i="2"/>
  <c r="I8" i="2"/>
  <c r="J8" i="2"/>
  <c r="H9" i="2"/>
  <c r="I9" i="2"/>
  <c r="J9" i="2"/>
  <c r="H10" i="2"/>
  <c r="I10" i="2"/>
  <c r="J10" i="2"/>
  <c r="I7" i="2"/>
  <c r="J7" i="2"/>
  <c r="F8" i="2"/>
  <c r="N8" i="2" s="1"/>
  <c r="F9" i="2"/>
  <c r="F10" i="2"/>
  <c r="F7" i="2"/>
  <c r="AC15" i="1" l="1"/>
  <c r="Z36" i="1"/>
  <c r="Z29" i="1"/>
  <c r="Z13" i="1"/>
  <c r="Z31" i="1"/>
  <c r="Z41" i="1"/>
  <c r="AC23" i="1"/>
  <c r="AA29" i="1"/>
  <c r="AB29" i="1" s="1"/>
  <c r="AB41" i="1"/>
  <c r="AA13" i="1"/>
  <c r="AB13" i="1" s="1"/>
  <c r="AC11" i="1"/>
  <c r="AA18" i="1"/>
  <c r="AB18" i="1" s="1"/>
  <c r="Z11" i="1"/>
  <c r="AA11" i="1"/>
  <c r="AB11" i="1" s="1"/>
  <c r="AC18" i="1"/>
  <c r="Z18" i="1"/>
  <c r="AC13" i="1"/>
  <c r="Z40" i="1"/>
  <c r="AA39" i="1"/>
  <c r="AB39" i="1" s="1"/>
  <c r="Z39" i="1"/>
  <c r="AC22" i="1"/>
  <c r="AA22" i="1"/>
  <c r="AB22" i="1" s="1"/>
  <c r="Z21" i="1"/>
  <c r="AC21" i="1"/>
  <c r="AA21" i="1"/>
  <c r="AB21" i="1" s="1"/>
  <c r="Z28" i="1"/>
  <c r="Z10" i="1"/>
  <c r="AC10" i="1"/>
  <c r="AA10" i="1"/>
  <c r="AB10" i="1" s="1"/>
  <c r="Z22" i="1"/>
  <c r="AA33" i="1"/>
  <c r="AB33" i="1" s="1"/>
  <c r="Z33" i="1"/>
  <c r="Z15" i="1"/>
  <c r="AA15" i="1"/>
  <c r="AB15" i="1" s="1"/>
  <c r="Z32" i="1"/>
  <c r="AC14" i="1"/>
  <c r="Z14" i="1"/>
  <c r="AA14" i="1"/>
  <c r="AB14" i="1" s="1"/>
  <c r="AA35" i="1"/>
  <c r="AB35" i="1" s="1"/>
  <c r="Z35" i="1"/>
  <c r="AC17" i="1"/>
  <c r="AA17" i="1"/>
  <c r="AB17" i="1" s="1"/>
  <c r="Z17" i="1"/>
  <c r="N10" i="2"/>
  <c r="O10" i="2" s="1"/>
  <c r="N9" i="2"/>
  <c r="O9" i="2" s="1"/>
  <c r="O8" i="2"/>
  <c r="K8" i="2"/>
  <c r="L7" i="2"/>
  <c r="L9" i="2"/>
  <c r="L8" i="2"/>
  <c r="L10" i="2"/>
  <c r="K10" i="2"/>
  <c r="K9" i="2"/>
</calcChain>
</file>

<file path=xl/sharedStrings.xml><?xml version="1.0" encoding="utf-8"?>
<sst xmlns="http://schemas.openxmlformats.org/spreadsheetml/2006/main" count="217" uniqueCount="70">
  <si>
    <t>Big plate assay CFUs</t>
  </si>
  <si>
    <t>3 day biofilms on coupons</t>
  </si>
  <si>
    <t>Pseudomonas aeruginosa</t>
  </si>
  <si>
    <t>SS-316</t>
  </si>
  <si>
    <t>Hydroxyapatite (HA)</t>
  </si>
  <si>
    <t>UHMWPE</t>
  </si>
  <si>
    <t>Titanium (Ti)</t>
  </si>
  <si>
    <t>CFU/mL</t>
  </si>
  <si>
    <t>SS-316 (coupon 1)</t>
  </si>
  <si>
    <t>SS-316 (coupon 2)</t>
  </si>
  <si>
    <t>SS-316 (coupon 3)</t>
  </si>
  <si>
    <t>Hydroxyapatite (coupon 1)</t>
  </si>
  <si>
    <t>Hydroxyapatite (coupon 2)</t>
  </si>
  <si>
    <t>Hydroxyapatite (coupon 3)</t>
  </si>
  <si>
    <t>UHMWPE (coupon 1)</t>
  </si>
  <si>
    <t>UHMWPE (coupon 2)</t>
  </si>
  <si>
    <t>UHMWPE (coupon 3)</t>
  </si>
  <si>
    <t>Titanium (coupon 1)</t>
  </si>
  <si>
    <t>Titanium (coupon 2)</t>
  </si>
  <si>
    <t>Titanium (coupon 3)</t>
  </si>
  <si>
    <t>Big plate CFUs</t>
  </si>
  <si>
    <t>LOG VALUES</t>
  </si>
  <si>
    <t>Xen41</t>
  </si>
  <si>
    <t>SS316</t>
  </si>
  <si>
    <t>HA</t>
  </si>
  <si>
    <t>Titanium</t>
  </si>
  <si>
    <t>Average</t>
  </si>
  <si>
    <t>SD</t>
  </si>
  <si>
    <t>log10</t>
  </si>
  <si>
    <t>Coupons diameter: 9.5mm (0.95cm)</t>
  </si>
  <si>
    <t>0.95 cm</t>
  </si>
  <si>
    <t>Diameter</t>
  </si>
  <si>
    <t>Radius</t>
  </si>
  <si>
    <t>Area</t>
  </si>
  <si>
    <t>Area x 10</t>
  </si>
  <si>
    <t>Log10 CFU/mL</t>
  </si>
  <si>
    <t xml:space="preserve"> Log10 CFU/mL</t>
  </si>
  <si>
    <t>AVERAGE</t>
  </si>
  <si>
    <t>CFU/cm^2</t>
  </si>
  <si>
    <t>Log10 CFU/cm^2</t>
  </si>
  <si>
    <t>13.5 mm (1.35 cm)</t>
  </si>
  <si>
    <t>Radius^2</t>
  </si>
  <si>
    <t>Radius squared x 10</t>
  </si>
  <si>
    <t>Plug Diameter</t>
  </si>
  <si>
    <t>LOADED SPACER (LS)</t>
  </si>
  <si>
    <t>UNLOADED SPACER (US)</t>
  </si>
  <si>
    <t>LOADED SPACER + LOADED BEADS (LS+LB)</t>
  </si>
  <si>
    <t>US</t>
  </si>
  <si>
    <t>LS</t>
  </si>
  <si>
    <t>LS+LB</t>
  </si>
  <si>
    <t>STANDARD DEVIATION</t>
  </si>
  <si>
    <t xml:space="preserve"> Log10 CFU/cm^2</t>
  </si>
  <si>
    <t>Unloaded Spacer (US)</t>
  </si>
  <si>
    <t>Loaded Spacer (LS)</t>
  </si>
  <si>
    <t>Loaded Spacer + Loaded Beads (LS+LB)</t>
  </si>
  <si>
    <t>LOG REDUCTION</t>
  </si>
  <si>
    <t>Distance from Spacer (cm)</t>
  </si>
  <si>
    <t>Coupon Material</t>
  </si>
  <si>
    <t>Log CFU/cm^2</t>
  </si>
  <si>
    <t>Log Reduction  Log10 CFU/cm^2</t>
  </si>
  <si>
    <t>SE</t>
  </si>
  <si>
    <t>STANDARD ERROR</t>
  </si>
  <si>
    <t>T-Test</t>
  </si>
  <si>
    <t>log10 CFU/cm^2</t>
  </si>
  <si>
    <t>DETERCTION LIMIT</t>
  </si>
  <si>
    <t>CFU</t>
  </si>
  <si>
    <t>CFU/tube</t>
  </si>
  <si>
    <t>≥</t>
  </si>
  <si>
    <t>Roughness (nm)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</si>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</sst>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/>
    <xf numFmtId="0" fontId="1" fillId="0" borderId="0" xfId="0" applyFont="1"/>
    <xf numFmtId="11" fontId="0" fillId="0" borderId="0" xfId="0" applyNumberFormat="1"/>
    <xf numFmtId="0" fontId="0" fillId="0" borderId="0" xfId="0" applyBorder="1"/>
    <xf numFmtId="0" fontId="1" fillId="0" borderId="0" xfId="0" applyFont="1" applyBorder="1"/>
    <xf numFmtId="11" fontId="0" fillId="0" borderId="0" xfId="0" applyNumberFormat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11" fontId="0" fillId="0" borderId="1" xfId="0" applyNumberForma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13" xfId="0" applyNumberFormat="1" applyBorder="1" applyAlignment="1">
      <alignment horizontal="center" vertical="center"/>
    </xf>
    <xf numFmtId="11" fontId="0" fillId="0" borderId="15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26" xfId="0" applyNumberForma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30" xfId="0" applyFont="1" applyFill="1" applyBorder="1"/>
    <xf numFmtId="0" fontId="2" fillId="2" borderId="31" xfId="0" applyFont="1" applyFill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1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4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1" fontId="0" fillId="0" borderId="0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316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 </a:t>
            </a: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Stainless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Steel (SS-316)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'Xen41 CFU''s'!$Q$79</c:f>
              <c:strCache>
                <c:ptCount val="1"/>
                <c:pt idx="0">
                  <c:v>Loaded Spacer (LS)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'Xen41 CFU''s'!$W$80:$W$82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1.7517575017011022</c:v>
                  </c:pt>
                  <c:pt idx="2">
                    <c:v>0.29213052083463559</c:v>
                  </c:pt>
                </c:numCache>
              </c:numRef>
            </c:plus>
            <c:minus>
              <c:numRef>
                <c:f>'Xen41 CFU''s'!$W$80:$W$82</c:f>
                <c:numCache>
                  <c:formatCode>General</c:formatCode>
                  <c:ptCount val="3"/>
                  <c:pt idx="0">
                    <c:v>1</c:v>
                  </c:pt>
                  <c:pt idx="1">
                    <c:v>1.7517575017011022</c:v>
                  </c:pt>
                  <c:pt idx="2">
                    <c:v>0.29213052083463559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CFU''s'!$P$80:$P$82</c:f>
              <c:numCache>
                <c:formatCode>General</c:formatCode>
                <c:ptCount val="3"/>
                <c:pt idx="0">
                  <c:v>0.9</c:v>
                </c:pt>
                <c:pt idx="1">
                  <c:v>2.9</c:v>
                </c:pt>
                <c:pt idx="2">
                  <c:v>4.9000000000000004</c:v>
                </c:pt>
              </c:numCache>
            </c:numRef>
          </c:xVal>
          <c:yVal>
            <c:numRef>
              <c:f>'Xen41 CFU''s'!$Q$80:$Q$82</c:f>
              <c:numCache>
                <c:formatCode>General</c:formatCode>
                <c:ptCount val="3"/>
                <c:pt idx="0">
                  <c:v>5.5720967679505193</c:v>
                </c:pt>
                <c:pt idx="1">
                  <c:v>3.8280260949157081</c:v>
                </c:pt>
                <c:pt idx="2">
                  <c:v>0.58157583163223114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F-DA45-8414-276FB00BE153}"/>
            </c:ext>
          </c:extLst>
        </c:ser>
        <c:ser>
          <c:idx val="1"/>
          <c:order val="1"/>
          <c:tx>
            <c:strRef>
              <c:f>'Xen41 CFU''s'!$S$79</c:f>
              <c:strCache>
                <c:ptCount val="1"/>
                <c:pt idx="0">
                  <c:v>Loaded Spacer + Loaded Beads (LS+LB)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plus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'Xen41 CFU''s'!$X$80:$X$82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'Xen41 CFU''s'!$X$80:$X$82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CFU''s'!$R$80:$R$82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3.1</c:v>
                </c:pt>
                <c:pt idx="2">
                  <c:v>5.0999999999999996</c:v>
                </c:pt>
              </c:numCache>
            </c:numRef>
          </c:xVal>
          <c:yVal>
            <c:numRef>
              <c:f>'Xen41 CFU''s'!$S$80:$S$82</c:f>
              <c:numCache>
                <c:formatCode>General</c:formatCode>
                <c:ptCount val="3"/>
                <c:pt idx="0">
                  <c:v>6.5720967679505193</c:v>
                </c:pt>
                <c:pt idx="1">
                  <c:v>5.5797835966168101</c:v>
                </c:pt>
                <c:pt idx="2">
                  <c:v>6.1249387366082999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F-DA45-8414-276FB00B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597487"/>
        <c:axId val="1718598767"/>
      </c:scatterChart>
      <c:valAx>
        <c:axId val="178959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Coupon Distance from Edge of Spacer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(cm)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8598767"/>
        <c:crosses val="autoZero"/>
        <c:crossBetween val="midCat"/>
      </c:valAx>
      <c:valAx>
        <c:axId val="1718598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 Reduction (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1100" b="1" i="0" u="none" strike="noStrike" baseline="-25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10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CFU/cm</a:t>
                </a:r>
                <a:r>
                  <a:rPr lang="en-US" sz="1100" b="1" i="0" u="none" strike="noStrike" baseline="30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) 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597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429758780152486"/>
          <c:y val="0.34018132108486437"/>
          <c:w val="0.24148992062224503"/>
          <c:h val="0.2060511402371022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Titanium (Ti)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'Xen41 CFU''s'!$Q$79</c:f>
              <c:strCache>
                <c:ptCount val="1"/>
                <c:pt idx="0">
                  <c:v>Loaded Spacer (LS)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'Xen41 CFU''s'!$W$89:$W$91</c:f>
                <c:numCache>
                  <c:formatCode>General</c:formatCode>
                  <c:ptCount val="3"/>
                  <c:pt idx="0">
                    <c:v>0.83504999277330139</c:v>
                  </c:pt>
                  <c:pt idx="1">
                    <c:v>0.88761325399603785</c:v>
                  </c:pt>
                  <c:pt idx="2">
                    <c:v>0</c:v>
                  </c:pt>
                </c:numCache>
              </c:numRef>
            </c:plus>
            <c:minus>
              <c:numRef>
                <c:f>'Xen41 CFU''s'!$W$89:$W$91</c:f>
                <c:numCache>
                  <c:formatCode>General</c:formatCode>
                  <c:ptCount val="3"/>
                  <c:pt idx="0">
                    <c:v>0.83504999277330139</c:v>
                  </c:pt>
                  <c:pt idx="1">
                    <c:v>0.88761325399603785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CFU''s'!$P$89:$P$91</c:f>
              <c:numCache>
                <c:formatCode>General</c:formatCode>
                <c:ptCount val="3"/>
                <c:pt idx="0">
                  <c:v>0.9</c:v>
                </c:pt>
                <c:pt idx="1">
                  <c:v>2.9</c:v>
                </c:pt>
                <c:pt idx="2">
                  <c:v>4.9000000000000004</c:v>
                </c:pt>
              </c:numCache>
            </c:numRef>
          </c:xVal>
          <c:yVal>
            <c:numRef>
              <c:f>'Xen41 CFU''s'!$Q$89:$Q$91</c:f>
              <c:numCache>
                <c:formatCode>General</c:formatCode>
                <c:ptCount val="3"/>
                <c:pt idx="0">
                  <c:v>5.1191925166660228</c:v>
                </c:pt>
                <c:pt idx="1">
                  <c:v>2.2301232775247004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F-DA45-8414-276FB00BE153}"/>
            </c:ext>
          </c:extLst>
        </c:ser>
        <c:ser>
          <c:idx val="1"/>
          <c:order val="1"/>
          <c:tx>
            <c:strRef>
              <c:f>'Xen41 CFU''s'!$S$79</c:f>
              <c:strCache>
                <c:ptCount val="1"/>
                <c:pt idx="0">
                  <c:v>Loaded Spacer + Loaded Beads (LS+LB)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'Xen41 CFU''s'!$X$89:$X$91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'Xen41 CFU''s'!$X$89:$X$91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CFU''s'!$R$89:$R$91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3.1</c:v>
                </c:pt>
                <c:pt idx="2">
                  <c:v>5.0999999999999996</c:v>
                </c:pt>
              </c:numCache>
            </c:numRef>
          </c:xVal>
          <c:yVal>
            <c:numRef>
              <c:f>'Xen41 CFU''s'!$S$89:$S$91</c:f>
              <c:numCache>
                <c:formatCode>General</c:formatCode>
                <c:ptCount val="3"/>
                <c:pt idx="0">
                  <c:v>5.9542425094393252</c:v>
                </c:pt>
                <c:pt idx="1">
                  <c:v>6</c:v>
                </c:pt>
                <c:pt idx="2">
                  <c:v>5.5873367345072564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AF-DA45-8414-276FB00B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597487"/>
        <c:axId val="1718598767"/>
      </c:scatterChart>
      <c:valAx>
        <c:axId val="178959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Coupon Distance from Edge of Spacer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(cm)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8598767"/>
        <c:crosses val="autoZero"/>
        <c:crossBetween val="midCat"/>
      </c:valAx>
      <c:valAx>
        <c:axId val="1718598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 Reduction (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1100" b="1" i="0" u="none" strike="noStrike" baseline="-25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10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CFU/cm</a:t>
                </a:r>
                <a:r>
                  <a:rPr lang="en-US" sz="1100" b="1" i="0" u="none" strike="noStrike" baseline="30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) 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597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02392825896763"/>
          <c:y val="0.36795909886264216"/>
          <c:w val="0.24148992062224503"/>
          <c:h val="0.2060511402371022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Ultra High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Molecular Weight </a:t>
            </a: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Polyethylene (UHMWPE)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'Xen41 CFU''s'!$Q$79</c:f>
              <c:strCache>
                <c:ptCount val="1"/>
                <c:pt idx="0">
                  <c:v>Loaded Spacer (LS)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'Xen41 CFU''s'!$W$86:$W$88</c:f>
                <c:numCache>
                  <c:formatCode>General</c:formatCode>
                  <c:ptCount val="3"/>
                  <c:pt idx="0">
                    <c:v>0.48447935913738688</c:v>
                  </c:pt>
                  <c:pt idx="1">
                    <c:v>0.38489586071533899</c:v>
                  </c:pt>
                  <c:pt idx="2">
                    <c:v>0</c:v>
                  </c:pt>
                </c:numCache>
              </c:numRef>
            </c:plus>
            <c:minus>
              <c:numRef>
                <c:f>'Xen41 CFU''s'!$W$86:$W$88</c:f>
                <c:numCache>
                  <c:formatCode>General</c:formatCode>
                  <c:ptCount val="3"/>
                  <c:pt idx="0">
                    <c:v>0.48447935913738688</c:v>
                  </c:pt>
                  <c:pt idx="1">
                    <c:v>0.38489586071533899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CFU''s'!$P$86:$P$88</c:f>
              <c:numCache>
                <c:formatCode>General</c:formatCode>
                <c:ptCount val="3"/>
                <c:pt idx="0">
                  <c:v>0.9</c:v>
                </c:pt>
                <c:pt idx="1">
                  <c:v>2.9</c:v>
                </c:pt>
                <c:pt idx="2">
                  <c:v>4.9000000000000004</c:v>
                </c:pt>
              </c:numCache>
            </c:numRef>
          </c:xVal>
          <c:yVal>
            <c:numRef>
              <c:f>'Xen41 CFU''s'!$Q$86:$Q$88</c:f>
              <c:numCache>
                <c:formatCode>General</c:formatCode>
                <c:ptCount val="3"/>
                <c:pt idx="0">
                  <c:v>4.1672298154034664</c:v>
                </c:pt>
                <c:pt idx="1">
                  <c:v>1.3715287584724827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3-A34D-A441-1E7553EF04BD}"/>
            </c:ext>
          </c:extLst>
        </c:ser>
        <c:ser>
          <c:idx val="1"/>
          <c:order val="1"/>
          <c:tx>
            <c:strRef>
              <c:f>'Xen41 CFU''s'!$S$79</c:f>
              <c:strCache>
                <c:ptCount val="1"/>
                <c:pt idx="0">
                  <c:v>Loaded Spacer + Loaded Beads (LS+LB)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'Xen41 CFU''s'!$X$86:$X$88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0.47922219971701785</c:v>
                  </c:pt>
                  <c:pt idx="2">
                    <c:v>0.58399299507382918</c:v>
                  </c:pt>
                </c:numCache>
              </c:numRef>
            </c:plus>
            <c:minus>
              <c:numRef>
                <c:f>'Xen41 CFU''s'!$X$86:$X$88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0.47922219971701785</c:v>
                  </c:pt>
                  <c:pt idx="2">
                    <c:v>0.58399299507382918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CFU''s'!$R$86:$R$88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3.1</c:v>
                </c:pt>
                <c:pt idx="2">
                  <c:v>5.0999999999999996</c:v>
                </c:pt>
              </c:numCache>
            </c:numRef>
          </c:xVal>
          <c:yVal>
            <c:numRef>
              <c:f>'Xen41 CFU''s'!$S$86:$S$88</c:f>
              <c:numCache>
                <c:formatCode>General</c:formatCode>
                <c:ptCount val="3"/>
                <c:pt idx="0">
                  <c:v>5.6020599913279625</c:v>
                </c:pt>
                <c:pt idx="1">
                  <c:v>5.688456084249089</c:v>
                </c:pt>
                <c:pt idx="2">
                  <c:v>4.5721998308799128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73-A34D-A441-1E7553EF04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89597487"/>
        <c:axId val="1718598767"/>
      </c:scatterChart>
      <c:valAx>
        <c:axId val="178959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Coupon Distance from Edge of Spacer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(cm)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8598767"/>
        <c:crosses val="autoZero"/>
        <c:crossBetween val="midCat"/>
      </c:valAx>
      <c:valAx>
        <c:axId val="1718598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 Reduction (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1100" b="1" i="0" u="none" strike="noStrike" baseline="-25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10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CFU/cm</a:t>
                </a:r>
                <a:r>
                  <a:rPr lang="en-US" sz="1100" b="1" i="0" u="none" strike="noStrike" baseline="30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) 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597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2942626929033907"/>
          <c:y val="0.4936234664512546"/>
          <c:w val="0.24148992062224503"/>
          <c:h val="0.2060511402371022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Hydroxyapatite (HA)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'Xen41 CFU''s'!$Q$79</c:f>
              <c:strCache>
                <c:ptCount val="1"/>
                <c:pt idx="0">
                  <c:v>Loaded Spacer (LS)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'Xen41 CFU''s'!$W$83:$W$85</c:f>
                <c:numCache>
                  <c:formatCode>General</c:formatCode>
                  <c:ptCount val="3"/>
                  <c:pt idx="0">
                    <c:v>0.90533444787826656</c:v>
                  </c:pt>
                  <c:pt idx="1">
                    <c:v>0.46936379924333277</c:v>
                  </c:pt>
                  <c:pt idx="2">
                    <c:v>0.16301284177103254</c:v>
                  </c:pt>
                </c:numCache>
              </c:numRef>
            </c:plus>
            <c:minus>
              <c:numRef>
                <c:f>'Xen41 CFU''s'!$W$83:$W$85</c:f>
                <c:numCache>
                  <c:formatCode>General</c:formatCode>
                  <c:ptCount val="3"/>
                  <c:pt idx="0">
                    <c:v>0.90533444787826656</c:v>
                  </c:pt>
                  <c:pt idx="1">
                    <c:v>0.46936379924333277</c:v>
                  </c:pt>
                  <c:pt idx="2">
                    <c:v>0.16301284177103254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CFU''s'!$P$83:$P$85</c:f>
              <c:numCache>
                <c:formatCode>General</c:formatCode>
                <c:ptCount val="3"/>
                <c:pt idx="0">
                  <c:v>0.9</c:v>
                </c:pt>
                <c:pt idx="1">
                  <c:v>2.9</c:v>
                </c:pt>
                <c:pt idx="2">
                  <c:v>4.9000000000000004</c:v>
                </c:pt>
              </c:numCache>
            </c:numRef>
          </c:xVal>
          <c:yVal>
            <c:numRef>
              <c:f>'Xen41 CFU''s'!$Q$83:$Q$85</c:f>
              <c:numCache>
                <c:formatCode>General</c:formatCode>
                <c:ptCount val="3"/>
                <c:pt idx="0">
                  <c:v>4.6967255434496957</c:v>
                </c:pt>
                <c:pt idx="1">
                  <c:v>2.17320677016053</c:v>
                </c:pt>
                <c:pt idx="2">
                  <c:v>0.27583762173771476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8-AC4B-BF56-998459CECBF8}"/>
            </c:ext>
          </c:extLst>
        </c:ser>
        <c:ser>
          <c:idx val="1"/>
          <c:order val="1"/>
          <c:tx>
            <c:strRef>
              <c:f>'Xen41 CFU''s'!$S$79</c:f>
              <c:strCache>
                <c:ptCount val="1"/>
                <c:pt idx="0">
                  <c:v>Loaded Spacer + Loaded Beads (LS+LB)</c:v>
                </c:pt>
              </c:strCache>
            </c:strRef>
          </c:tx>
          <c:spPr>
            <a:ln w="254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'Xen41 CFU''s'!$X$83:$X$85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1.6866312672296087</c:v>
                  </c:pt>
                </c:numCache>
              </c:numRef>
            </c:plus>
            <c:minus>
              <c:numRef>
                <c:f>'Xen41 CFU''s'!$X$83:$X$85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1.6866312672296087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'Xen41 CFU''s'!$R$83:$R$85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3.1</c:v>
                </c:pt>
                <c:pt idx="2">
                  <c:v>5.0999999999999996</c:v>
                </c:pt>
              </c:numCache>
            </c:numRef>
          </c:xVal>
          <c:yVal>
            <c:numRef>
              <c:f>'Xen41 CFU''s'!$S$83:$S$85</c:f>
              <c:numCache>
                <c:formatCode>General</c:formatCode>
                <c:ptCount val="3"/>
                <c:pt idx="0">
                  <c:v>5.6020599913279625</c:v>
                </c:pt>
                <c:pt idx="1">
                  <c:v>6.3553876579865731</c:v>
                </c:pt>
                <c:pt idx="2">
                  <c:v>2.5055743440866691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8-AC4B-BF56-998459CEC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597487"/>
        <c:axId val="1718598767"/>
      </c:scatterChart>
      <c:valAx>
        <c:axId val="178959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Coupon Distance from Edge of Spacer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(cm)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8598767"/>
        <c:crosses val="autoZero"/>
        <c:crossBetween val="midCat"/>
      </c:valAx>
      <c:valAx>
        <c:axId val="1718598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Log Reduction (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Log</a:t>
                </a:r>
                <a:r>
                  <a:rPr lang="en-US" sz="1100" b="1" i="0" u="none" strike="noStrike" baseline="-25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10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CFU/cm</a:t>
                </a:r>
                <a:r>
                  <a:rPr lang="en-US" sz="1100" b="1" i="0" u="none" strike="noStrike" baseline="3000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effectLst/>
                    <a:latin typeface="Arial" panose="020B0604020202020204" pitchFamily="34" charset="0"/>
                    <a:cs typeface="Arial" panose="020B0604020202020204" pitchFamily="34" charset="0"/>
                  </a:rPr>
                  <a:t>) </a:t>
                </a:r>
                <a:r>
                  <a:rPr lang="en-US" sz="1100" b="1" i="0" u="none" strike="noStrike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597487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9644044494438195"/>
          <c:y val="0.15684798775153108"/>
          <c:w val="0.24148992062224503"/>
          <c:h val="0.2060511402371022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i="1">
                <a:solidFill>
                  <a:schemeClr val="tx1"/>
                </a:solidFill>
              </a:rPr>
              <a:t>P. aeruginosa </a:t>
            </a:r>
            <a:r>
              <a:rPr lang="en-US" sz="1400" i="0">
                <a:solidFill>
                  <a:schemeClr val="tx1"/>
                </a:solidFill>
              </a:rPr>
              <a:t>Xen41 3-Day</a:t>
            </a:r>
            <a:r>
              <a:rPr lang="en-US" sz="1400" i="0" baseline="0">
                <a:solidFill>
                  <a:schemeClr val="tx1"/>
                </a:solidFill>
              </a:rPr>
              <a:t> Biofilm CFU's</a:t>
            </a:r>
            <a:endParaRPr lang="en-US" sz="1400" i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Day Biofilm CFU''s'!$C$22</c:f>
              <c:strCache>
                <c:ptCount val="1"/>
                <c:pt idx="0">
                  <c:v>Xen41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'3 Day Biofilm CFU''s'!$F$23:$F$26</c:f>
                <c:numCache>
                  <c:formatCode>General</c:formatCode>
                  <c:ptCount val="4"/>
                  <c:pt idx="0">
                    <c:v>0.23680323141025003</c:v>
                  </c:pt>
                  <c:pt idx="1">
                    <c:v>0.17379974903075146</c:v>
                  </c:pt>
                  <c:pt idx="2">
                    <c:v>0.20068666377598751</c:v>
                  </c:pt>
                  <c:pt idx="3">
                    <c:v>0.25003895608191085</c:v>
                  </c:pt>
                </c:numCache>
              </c:numRef>
            </c:plus>
            <c:minus>
              <c:numRef>
                <c:f>'3 Day Biofilm CFU''s'!$F$23:$F$26</c:f>
                <c:numCache>
                  <c:formatCode>General</c:formatCode>
                  <c:ptCount val="4"/>
                  <c:pt idx="0">
                    <c:v>0.23680323141025003</c:v>
                  </c:pt>
                  <c:pt idx="1">
                    <c:v>0.17379974903075146</c:v>
                  </c:pt>
                  <c:pt idx="2">
                    <c:v>0.20068666377598751</c:v>
                  </c:pt>
                  <c:pt idx="3">
                    <c:v>0.25003895608191085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'3 Day Biofilm CFU''s'!$B$23:$B$26</c:f>
              <c:strCache>
                <c:ptCount val="4"/>
                <c:pt idx="0">
                  <c:v>SS-316</c:v>
                </c:pt>
                <c:pt idx="1">
                  <c:v>Hydroxyapatite (HA)</c:v>
                </c:pt>
                <c:pt idx="2">
                  <c:v>UHMWPE</c:v>
                </c:pt>
                <c:pt idx="3">
                  <c:v>Titanium (Ti)</c:v>
                </c:pt>
              </c:strCache>
            </c:strRef>
          </c:cat>
          <c:val>
            <c:numRef>
              <c:f>'3 Day Biofilm CFU''s'!$C$23:$C$26</c:f>
              <c:numCache>
                <c:formatCode>General</c:formatCode>
                <c:ptCount val="4"/>
                <c:pt idx="0">
                  <c:v>10.37585325607605</c:v>
                </c:pt>
                <c:pt idx="1">
                  <c:v>10.517659917971645</c:v>
                </c:pt>
                <c:pt idx="2">
                  <c:v>10.626804387396714</c:v>
                </c:pt>
                <c:pt idx="3">
                  <c:v>10.222790231012482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A-8648-850A-07B3A2269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1728088"/>
        <c:axId val="671729400"/>
      </c:barChart>
      <c:catAx>
        <c:axId val="671728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>
                    <a:solidFill>
                      <a:schemeClr val="tx1"/>
                    </a:solidFill>
                  </a:rPr>
                  <a:t>Coupon Material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1729400"/>
        <c:crosses val="autoZero"/>
        <c:auto val="1"/>
        <c:lblAlgn val="ctr"/>
        <c:lblOffset val="100"/>
        <c:noMultiLvlLbl val="0"/>
      </c:catAx>
      <c:valAx>
        <c:axId val="671729400"/>
        <c:scaling>
          <c:orientation val="minMax"/>
          <c:max val="1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 b="1" i="0" baseline="0">
                    <a:effectLst/>
                  </a:rPr>
                  <a:t>Log</a:t>
                </a:r>
                <a:r>
                  <a:rPr lang="en-US" sz="1200" b="1" i="0" baseline="-25000">
                    <a:effectLst/>
                  </a:rPr>
                  <a:t>10</a:t>
                </a:r>
                <a:r>
                  <a:rPr lang="en-US" sz="1200" b="1" i="0" baseline="0">
                    <a:effectLst/>
                  </a:rPr>
                  <a:t>CFU/cm</a:t>
                </a:r>
                <a:r>
                  <a:rPr lang="en-US" sz="1200" b="1" i="0" baseline="30000">
                    <a:effectLst/>
                  </a:rPr>
                  <a:t>2</a:t>
                </a:r>
                <a:endParaRPr lang="en-US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71728088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459209</xdr:colOff>
      <xdr:row>91</xdr:row>
      <xdr:rowOff>172352</xdr:rowOff>
    </xdr:from>
    <xdr:to>
      <xdr:col>18</xdr:col>
      <xdr:colOff>805475</xdr:colOff>
      <xdr:row>116</xdr:row>
      <xdr:rowOff>61450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156ABF-6A7A-5545-B8D0-05C16674CC5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812800</xdr:colOff>
      <xdr:row>91</xdr:row>
      <xdr:rowOff>163323</xdr:rowOff>
    </xdr:from>
    <xdr:to>
      <xdr:col>27</xdr:col>
      <xdr:colOff>154899</xdr:colOff>
      <xdr:row>116</xdr:row>
      <xdr:rowOff>52421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5C4571-B9A4-0840-8DA1-9738EADB1A7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809009</xdr:colOff>
      <xdr:row>116</xdr:row>
      <xdr:rowOff>69755</xdr:rowOff>
    </xdr:from>
    <xdr:to>
      <xdr:col>27</xdr:col>
      <xdr:colOff>151108</xdr:colOff>
      <xdr:row>140</xdr:row>
      <xdr:rowOff>144705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AA7D5A-D81D-284D-85FB-FAB0DBD3768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446207</xdr:colOff>
      <xdr:row>116</xdr:row>
      <xdr:rowOff>71777</xdr:rowOff>
    </xdr:from>
    <xdr:to>
      <xdr:col>18</xdr:col>
      <xdr:colOff>792473</xdr:colOff>
      <xdr:row>140</xdr:row>
      <xdr:rowOff>146727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6F5D87-E716-F64C-B201-4FA9EC5D94B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123733</xdr:colOff>
      <xdr:row>94</xdr:row>
      <xdr:rowOff>15119</xdr:rowOff>
    </xdr:from>
    <xdr:to>
      <xdr:col>17</xdr:col>
      <xdr:colOff>1012340</xdr:colOff>
      <xdr:row>98</xdr:row>
      <xdr:rowOff>88704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161299C-EB62-454A-A49F-C5A1E13919CA}"/>
            </a:ext>
          </a:extLst>
        </xdr:cNvPr>
        <xdr:cNvGrpSpPr/>
      </xdr:nvGrpSpPr>
      <xdr:grpSpPr>
        <a:xfrm>
          <a:off x="15398528" y="18073475"/>
          <a:ext cx="4153493" cy="792671"/>
          <a:chOff x="15580562" y="18755363"/>
          <a:chExt cx="4342387" cy="817000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EE79B95A-4FE4-C04A-85F5-E546309F4ECA}"/>
              </a:ext>
            </a:extLst>
          </xdr:cNvPr>
          <xdr:cNvSpPr txBox="1"/>
        </xdr:nvSpPr>
        <xdr:spPr>
          <a:xfrm>
            <a:off x="15580562" y="18755363"/>
            <a:ext cx="287867" cy="3155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702C94C-923F-C74D-91F7-1C44CB86F5C3}"/>
              </a:ext>
            </a:extLst>
          </xdr:cNvPr>
          <xdr:cNvSpPr txBox="1"/>
        </xdr:nvSpPr>
        <xdr:spPr>
          <a:xfrm>
            <a:off x="17611980" y="19210276"/>
            <a:ext cx="240530" cy="3620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4EB8F11-3E3E-9B4C-B58A-D12718794E9D}"/>
              </a:ext>
            </a:extLst>
          </xdr:cNvPr>
          <xdr:cNvSpPr txBox="1"/>
        </xdr:nvSpPr>
        <xdr:spPr>
          <a:xfrm>
            <a:off x="19682419" y="18938534"/>
            <a:ext cx="240530" cy="3620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</xdr:grpSp>
    <xdr:clientData/>
  </xdr:twoCellAnchor>
  <xdr:twoCellAnchor>
    <xdr:from>
      <xdr:col>20</xdr:col>
      <xdr:colOff>558031</xdr:colOff>
      <xdr:row>95</xdr:row>
      <xdr:rowOff>131410</xdr:rowOff>
    </xdr:from>
    <xdr:to>
      <xdr:col>26</xdr:col>
      <xdr:colOff>173182</xdr:colOff>
      <xdr:row>98</xdr:row>
      <xdr:rowOff>131411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C037402-4F5B-4948-B4A3-04388047C531}"/>
            </a:ext>
          </a:extLst>
        </xdr:cNvPr>
        <xdr:cNvGrpSpPr/>
      </xdr:nvGrpSpPr>
      <xdr:grpSpPr>
        <a:xfrm>
          <a:off x="21927665" y="18369537"/>
          <a:ext cx="4097846" cy="539316"/>
          <a:chOff x="23123763" y="19042021"/>
          <a:chExt cx="4323443" cy="557562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D08A3DA-F4EE-5D4B-94AF-12E8A6626151}"/>
              </a:ext>
            </a:extLst>
          </xdr:cNvPr>
          <xdr:cNvSpPr txBox="1"/>
        </xdr:nvSpPr>
        <xdr:spPr>
          <a:xfrm>
            <a:off x="25155247" y="19042021"/>
            <a:ext cx="240530" cy="3620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556A5FC3-DB11-7344-8FB3-AC29CA43E0B0}"/>
              </a:ext>
            </a:extLst>
          </xdr:cNvPr>
          <xdr:cNvSpPr txBox="1"/>
        </xdr:nvSpPr>
        <xdr:spPr>
          <a:xfrm>
            <a:off x="23123763" y="19061264"/>
            <a:ext cx="233020" cy="3620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E0FCEAE-63CC-D048-B646-2F13A6EA665B}"/>
              </a:ext>
            </a:extLst>
          </xdr:cNvPr>
          <xdr:cNvSpPr txBox="1"/>
        </xdr:nvSpPr>
        <xdr:spPr>
          <a:xfrm>
            <a:off x="27211839" y="19237496"/>
            <a:ext cx="235367" cy="3620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</xdr:grpSp>
    <xdr:clientData/>
  </xdr:twoCellAnchor>
  <xdr:twoCellAnchor>
    <xdr:from>
      <xdr:col>20</xdr:col>
      <xdr:colOff>559266</xdr:colOff>
      <xdr:row>121</xdr:row>
      <xdr:rowOff>0</xdr:rowOff>
    </xdr:from>
    <xdr:to>
      <xdr:col>21</xdr:col>
      <xdr:colOff>126311</xdr:colOff>
      <xdr:row>122</xdr:row>
      <xdr:rowOff>176801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D4A0B9F-F2C9-3E4E-B52C-8EE546E7CAA3}"/>
            </a:ext>
          </a:extLst>
        </xdr:cNvPr>
        <xdr:cNvSpPr txBox="1"/>
      </xdr:nvSpPr>
      <xdr:spPr>
        <a:xfrm>
          <a:off x="23186238" y="23873670"/>
          <a:ext cx="242825" cy="3632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≥</a:t>
          </a:r>
        </a:p>
      </xdr:txBody>
    </xdr:sp>
    <xdr:clientData/>
  </xdr:twoCellAnchor>
  <xdr:twoCellAnchor>
    <xdr:from>
      <xdr:col>15</xdr:col>
      <xdr:colOff>126184</xdr:colOff>
      <xdr:row>119</xdr:row>
      <xdr:rowOff>23729</xdr:rowOff>
    </xdr:from>
    <xdr:to>
      <xdr:col>16</xdr:col>
      <xdr:colOff>446732</xdr:colOff>
      <xdr:row>122</xdr:row>
      <xdr:rowOff>165150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09EC066C-1303-3D4C-ABE0-974F48C0B670}"/>
            </a:ext>
          </a:extLst>
        </xdr:cNvPr>
        <xdr:cNvGrpSpPr/>
      </xdr:nvGrpSpPr>
      <xdr:grpSpPr>
        <a:xfrm>
          <a:off x="15400979" y="22576377"/>
          <a:ext cx="2193653" cy="680736"/>
          <a:chOff x="15567525" y="23487753"/>
          <a:chExt cx="2302987" cy="698982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6A59717-25E7-0A45-B100-942BB0667BBE}"/>
              </a:ext>
            </a:extLst>
          </xdr:cNvPr>
          <xdr:cNvSpPr txBox="1"/>
        </xdr:nvSpPr>
        <xdr:spPr>
          <a:xfrm>
            <a:off x="17627687" y="23487753"/>
            <a:ext cx="242825" cy="3620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4BB4A89-4ADB-1D4B-B5B0-CABA679B6DAF}"/>
              </a:ext>
            </a:extLst>
          </xdr:cNvPr>
          <xdr:cNvSpPr txBox="1"/>
        </xdr:nvSpPr>
        <xdr:spPr>
          <a:xfrm>
            <a:off x="15567525" y="23824649"/>
            <a:ext cx="242825" cy="3620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≥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134557</xdr:colOff>
      <xdr:row>34</xdr:row>
      <xdr:rowOff>105686</xdr:rowOff>
    </xdr:from>
    <xdr:to>
      <xdr:col>14</xdr:col>
      <xdr:colOff>501043</xdr:colOff>
      <xdr:row>56</xdr:row>
      <xdr:rowOff>61251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0F6FE1-A8B9-264E-9318-1E940F9C658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D30B-8816-40EE-A3FB-7B79A730EC5F}">
  <dimension ref="B1:BI97"/>
  <sheetViews>
    <sheetView tabSelected="1" topLeftCell="O1" zoomScale="73" zoomScaleNormal="82" workbookViewId="0">
      <selection activeCell="Q44" sqref="Q44:S44"/>
    </sheetView>
  </sheetViews>
  <sheetFormatPr defaultColWidth="8.8203125" defaultRowHeight="14.35" x14ac:dyDescent="0.5"/>
  <cols>
    <col min="2" max="2" width="22.64453125" bestFit="1" customWidth="1"/>
    <col min="4" max="4" width="10.64453125" bestFit="1" customWidth="1"/>
    <col min="5" max="5" width="13.46875" customWidth="1"/>
    <col min="7" max="7" width="14.3515625" customWidth="1"/>
    <col min="8" max="8" width="10.64453125" bestFit="1" customWidth="1"/>
    <col min="9" max="9" width="20.3515625" customWidth="1"/>
    <col min="11" max="11" width="20.3515625" customWidth="1"/>
    <col min="12" max="12" width="22.8203125" customWidth="1"/>
    <col min="13" max="13" width="17.3515625" customWidth="1"/>
    <col min="14" max="14" width="15" customWidth="1"/>
    <col min="15" max="15" width="9.17578125" customWidth="1"/>
    <col min="16" max="16" width="26" customWidth="1"/>
    <col min="17" max="17" width="19.3515625" customWidth="1"/>
    <col min="18" max="18" width="15.8203125" customWidth="1"/>
    <col min="19" max="19" width="14.64453125" customWidth="1"/>
    <col min="23" max="23" width="10.64453125" bestFit="1" customWidth="1"/>
    <col min="24" max="24" width="11.17578125" customWidth="1"/>
    <col min="26" max="26" width="13.8203125" customWidth="1"/>
    <col min="27" max="27" width="13.17578125" customWidth="1"/>
    <col min="28" max="28" width="22.8203125" customWidth="1"/>
    <col min="29" max="29" width="18.17578125" customWidth="1"/>
    <col min="30" max="30" width="13.46875" customWidth="1"/>
    <col min="31" max="31" width="17.46875" customWidth="1"/>
    <col min="32" max="34" width="14.8203125" customWidth="1"/>
    <col min="35" max="35" width="13.46875" customWidth="1"/>
    <col min="36" max="37" width="15.17578125" customWidth="1"/>
    <col min="38" max="38" width="14.17578125" customWidth="1"/>
    <col min="39" max="39" width="19.46875" customWidth="1"/>
  </cols>
  <sheetData>
    <row r="1" spans="2:61" x14ac:dyDescent="0.5">
      <c r="B1" s="66" t="s">
        <v>20</v>
      </c>
      <c r="L1" s="9" t="s">
        <v>43</v>
      </c>
      <c r="M1" s="9" t="s">
        <v>32</v>
      </c>
      <c r="N1" s="9" t="s">
        <v>41</v>
      </c>
      <c r="O1" s="9" t="s">
        <v>33</v>
      </c>
      <c r="P1" s="9" t="s">
        <v>42</v>
      </c>
      <c r="Q1" s="9" t="s">
        <v>34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</row>
    <row r="2" spans="2:61" ht="14.7" thickBot="1" x14ac:dyDescent="0.55000000000000004">
      <c r="B2" s="67" t="s">
        <v>2</v>
      </c>
      <c r="F2" s="4"/>
      <c r="I2" s="4"/>
      <c r="J2" s="4"/>
      <c r="K2" s="4"/>
      <c r="L2" s="11" t="s">
        <v>40</v>
      </c>
      <c r="M2" s="11">
        <v>0.67500000000000004</v>
      </c>
      <c r="N2" s="11">
        <f>M2*M2</f>
        <v>0.45562500000000006</v>
      </c>
      <c r="O2" s="11">
        <f>N2*3.14</f>
        <v>1.4306625000000002</v>
      </c>
      <c r="P2" s="11">
        <f>(0.675*6.75)</f>
        <v>4.5562500000000004</v>
      </c>
      <c r="Q2" s="11">
        <f>(3.14*P2)</f>
        <v>14.306625000000002</v>
      </c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2:61" x14ac:dyDescent="0.5">
      <c r="B3" s="2"/>
      <c r="C3" s="3"/>
      <c r="D3" s="3"/>
      <c r="E3" s="3"/>
      <c r="F3" s="3"/>
      <c r="G3" s="3"/>
      <c r="H3" s="3"/>
      <c r="I3" s="4"/>
      <c r="J3" s="4"/>
      <c r="K3" s="4"/>
      <c r="L3" s="4"/>
      <c r="M3" s="4"/>
      <c r="N3" s="4"/>
      <c r="O3" s="4"/>
      <c r="P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2:61" ht="14.7" thickBot="1" x14ac:dyDescent="0.55000000000000004">
      <c r="B4" s="1"/>
      <c r="H4" s="4"/>
      <c r="I4" s="4"/>
      <c r="J4" s="4"/>
      <c r="K4" s="4"/>
      <c r="L4" s="4"/>
      <c r="M4" s="4"/>
      <c r="N4" s="4"/>
      <c r="O4" s="4"/>
      <c r="P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2:61" x14ac:dyDescent="0.5">
      <c r="B5" s="15"/>
      <c r="C5" s="99" t="s">
        <v>45</v>
      </c>
      <c r="D5" s="99"/>
      <c r="E5" s="99"/>
      <c r="F5" s="99"/>
      <c r="G5" s="99"/>
      <c r="H5" s="99"/>
      <c r="I5" s="9" t="s">
        <v>37</v>
      </c>
      <c r="J5" s="99" t="s">
        <v>27</v>
      </c>
      <c r="K5" s="9" t="s">
        <v>37</v>
      </c>
      <c r="L5" s="9" t="s">
        <v>37</v>
      </c>
      <c r="M5" s="9" t="s">
        <v>37</v>
      </c>
      <c r="N5" s="45" t="s">
        <v>37</v>
      </c>
      <c r="O5" s="52"/>
      <c r="P5" s="123" t="s">
        <v>55</v>
      </c>
      <c r="T5" s="4"/>
      <c r="U5" s="4"/>
      <c r="V5" s="6"/>
      <c r="W5" s="4"/>
      <c r="X5" s="4"/>
      <c r="Y5" s="4"/>
      <c r="Z5" s="4"/>
      <c r="AA5" s="4"/>
      <c r="AB5" s="4"/>
      <c r="AC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2:61" ht="14.7" thickBot="1" x14ac:dyDescent="0.55000000000000004">
      <c r="B6" s="9"/>
      <c r="C6" s="99" t="s">
        <v>7</v>
      </c>
      <c r="D6" s="99"/>
      <c r="E6" s="99"/>
      <c r="F6" s="99" t="s">
        <v>35</v>
      </c>
      <c r="G6" s="99"/>
      <c r="H6" s="99"/>
      <c r="I6" s="9" t="s">
        <v>36</v>
      </c>
      <c r="J6" s="99"/>
      <c r="K6" s="9" t="s">
        <v>7</v>
      </c>
      <c r="L6" s="9" t="s">
        <v>38</v>
      </c>
      <c r="M6" s="12" t="s">
        <v>39</v>
      </c>
      <c r="N6" s="12" t="s">
        <v>39</v>
      </c>
      <c r="O6" s="52"/>
      <c r="P6" s="124"/>
      <c r="T6" s="4"/>
      <c r="U6" s="4"/>
      <c r="V6" s="4"/>
      <c r="W6" s="4"/>
      <c r="X6" s="4"/>
      <c r="Y6" s="4"/>
      <c r="Z6" s="4"/>
      <c r="AA6" s="4"/>
      <c r="AB6" s="4"/>
      <c r="AC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2:61" ht="14.7" thickBot="1" x14ac:dyDescent="0.55000000000000004">
      <c r="B7" s="11" t="s">
        <v>8</v>
      </c>
      <c r="C7" s="10">
        <v>5000000000</v>
      </c>
      <c r="D7" s="10">
        <v>100000000</v>
      </c>
      <c r="E7" s="55">
        <v>500000000</v>
      </c>
      <c r="F7" s="16">
        <f>LOG10(C7)</f>
        <v>9.6989700043360187</v>
      </c>
      <c r="G7" s="16">
        <f>LOG10(D7)</f>
        <v>8</v>
      </c>
      <c r="H7" s="16">
        <f>LOG10(E7)</f>
        <v>8.6989700043360187</v>
      </c>
      <c r="I7" s="9">
        <f>AVERAGE(F7:H7)</f>
        <v>8.7993133362240119</v>
      </c>
      <c r="J7" s="9">
        <f>STDEV(F7:H7)</f>
        <v>0.8539182379473873</v>
      </c>
      <c r="K7" s="10">
        <f>AVERAGE(C7:E7)</f>
        <v>1866666666.6666667</v>
      </c>
      <c r="L7" s="10">
        <f>(K7*10)/$O$2</f>
        <v>13047568288.584251</v>
      </c>
      <c r="M7" s="9">
        <f>(LOG10(L7))</f>
        <v>10.115529578551273</v>
      </c>
      <c r="N7" s="99">
        <f>AVERAGE(M7:M9)</f>
        <v>9.6357058443259636</v>
      </c>
      <c r="O7" s="52"/>
      <c r="P7" s="110" t="s">
        <v>44</v>
      </c>
      <c r="Q7" s="108"/>
      <c r="R7" s="108"/>
      <c r="S7" s="108"/>
      <c r="T7" s="108"/>
      <c r="U7" s="108"/>
      <c r="V7" s="108"/>
      <c r="W7" s="108"/>
      <c r="X7" s="108"/>
      <c r="Y7" s="109"/>
      <c r="Z7" s="45" t="s">
        <v>37</v>
      </c>
      <c r="AA7" s="104" t="s">
        <v>27</v>
      </c>
      <c r="AB7" s="99" t="s">
        <v>60</v>
      </c>
      <c r="AC7" s="99" t="s">
        <v>62</v>
      </c>
      <c r="AP7" s="4"/>
      <c r="AQ7" s="4"/>
      <c r="AR7" s="4"/>
      <c r="AS7" s="4"/>
      <c r="AT7" s="5"/>
      <c r="AU7" s="5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2:61" ht="42" customHeight="1" x14ac:dyDescent="0.5">
      <c r="B8" s="11" t="s">
        <v>9</v>
      </c>
      <c r="C8" s="10">
        <v>100000000</v>
      </c>
      <c r="D8" s="10">
        <v>70000000</v>
      </c>
      <c r="E8" s="55">
        <v>400000000</v>
      </c>
      <c r="F8" s="16">
        <f t="shared" ref="F8:F9" si="0">LOG10(C8)</f>
        <v>8</v>
      </c>
      <c r="G8" s="16">
        <f t="shared" ref="G8:G9" si="1">LOG10(D8)</f>
        <v>7.8450980400142569</v>
      </c>
      <c r="H8" s="16">
        <f t="shared" ref="H8:H21" si="2">LOG10(E8)</f>
        <v>8.6020599913279625</v>
      </c>
      <c r="I8" s="9">
        <f t="shared" ref="I8:I9" si="3">AVERAGE(F8:H8)</f>
        <v>8.1490526771140726</v>
      </c>
      <c r="J8" s="9">
        <f t="shared" ref="J8:J9" si="4">STDEV(F8:H8)</f>
        <v>0.39988795224452223</v>
      </c>
      <c r="K8" s="10">
        <f>AVERAGE(C8:E8)</f>
        <v>190000000</v>
      </c>
      <c r="L8" s="10">
        <f t="shared" ref="L8" si="5">(K8*10)/$O$2</f>
        <v>1328056057.9451826</v>
      </c>
      <c r="M8" s="9">
        <f t="shared" ref="M8:M9" si="6">(LOG10(L8))</f>
        <v>9.1232164072175639</v>
      </c>
      <c r="N8" s="99"/>
      <c r="O8" s="52"/>
      <c r="P8" s="27"/>
      <c r="Q8" s="116" t="s">
        <v>38</v>
      </c>
      <c r="R8" s="117"/>
      <c r="S8" s="118"/>
      <c r="T8" s="116" t="s">
        <v>58</v>
      </c>
      <c r="U8" s="117"/>
      <c r="V8" s="118"/>
      <c r="W8" s="116" t="s">
        <v>59</v>
      </c>
      <c r="X8" s="117"/>
      <c r="Y8" s="118"/>
      <c r="Z8" s="47" t="s">
        <v>58</v>
      </c>
      <c r="AA8" s="106"/>
      <c r="AB8" s="99"/>
      <c r="AC8" s="99"/>
      <c r="AP8" s="5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2:61" x14ac:dyDescent="0.5">
      <c r="B9" s="11" t="s">
        <v>10</v>
      </c>
      <c r="C9" s="10">
        <v>1000000000</v>
      </c>
      <c r="D9" s="10">
        <v>500000000</v>
      </c>
      <c r="E9" s="55">
        <v>500000000</v>
      </c>
      <c r="F9" s="16">
        <f t="shared" si="0"/>
        <v>9</v>
      </c>
      <c r="G9" s="16">
        <f t="shared" si="1"/>
        <v>8.6989700043360187</v>
      </c>
      <c r="H9" s="16">
        <f t="shared" si="2"/>
        <v>8.6989700043360187</v>
      </c>
      <c r="I9" s="9">
        <f t="shared" si="3"/>
        <v>8.7993133362240119</v>
      </c>
      <c r="J9" s="9">
        <f t="shared" si="4"/>
        <v>0.17379974903075143</v>
      </c>
      <c r="K9" s="10">
        <f t="shared" ref="K9" si="7">AVERAGE(C9:E9)</f>
        <v>666666666.66666663</v>
      </c>
      <c r="L9" s="10">
        <f>(K9*10)/$O$2</f>
        <v>4659845817.3515177</v>
      </c>
      <c r="M9" s="9">
        <f t="shared" si="6"/>
        <v>9.6683715472090537</v>
      </c>
      <c r="N9" s="99"/>
      <c r="O9" s="52"/>
      <c r="P9" s="28" t="s">
        <v>8</v>
      </c>
      <c r="Q9" s="29">
        <f>(C25*10)/$O$2</f>
        <v>3494.8843630136384</v>
      </c>
      <c r="R9" s="10">
        <f t="shared" ref="Q9:S11" si="8">(D25*10)/$O$2</f>
        <v>3494.8843630136384</v>
      </c>
      <c r="S9" s="30">
        <f t="shared" si="8"/>
        <v>3494884.3630136382</v>
      </c>
      <c r="T9" s="34">
        <f>LOG10(Q9)</f>
        <v>3.5434328106007538</v>
      </c>
      <c r="U9" s="16">
        <f t="shared" ref="U9" si="9">LOG10(R9)</f>
        <v>3.5434328106007538</v>
      </c>
      <c r="V9" s="35">
        <f>LOG10(S9)</f>
        <v>6.5434328106007538</v>
      </c>
      <c r="W9" s="34">
        <f>$M$7-T9</f>
        <v>6.5720967679505193</v>
      </c>
      <c r="X9" s="16">
        <f t="shared" ref="X9:Y9" si="10">$M$7-U9</f>
        <v>6.5720967679505193</v>
      </c>
      <c r="Y9" s="35">
        <f t="shared" si="10"/>
        <v>3.5720967679505193</v>
      </c>
      <c r="Z9" s="39">
        <f>AVERAGE(W9:Y9)</f>
        <v>5.5720967679505193</v>
      </c>
      <c r="AA9" s="14">
        <f>_xlfn.STDEV.S(W9:Y9)</f>
        <v>1.7320508075688772</v>
      </c>
      <c r="AB9" s="45">
        <f>AA9/3^0.5</f>
        <v>1</v>
      </c>
      <c r="AC9" s="11">
        <f>_xlfn.T.TEST(W9:Y9, W27:Y27, 1, 3)</f>
        <v>0.21132486540518708</v>
      </c>
      <c r="AP9" s="5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2:61" x14ac:dyDescent="0.5">
      <c r="B10" s="11"/>
      <c r="C10" s="11"/>
      <c r="D10" s="11"/>
      <c r="E10" s="11"/>
      <c r="F10" s="11"/>
      <c r="G10" s="11"/>
      <c r="H10" s="16"/>
      <c r="I10" s="11"/>
      <c r="J10" s="11"/>
      <c r="K10" s="11"/>
      <c r="L10" s="10"/>
      <c r="M10" s="9"/>
      <c r="N10" s="45"/>
      <c r="O10" s="52"/>
      <c r="P10" s="28" t="s">
        <v>9</v>
      </c>
      <c r="Q10" s="29">
        <f t="shared" si="8"/>
        <v>3494.8843630136384</v>
      </c>
      <c r="R10" s="10">
        <f t="shared" si="8"/>
        <v>3494.8843630136384</v>
      </c>
      <c r="S10" s="30">
        <f t="shared" si="8"/>
        <v>629079185.34245491</v>
      </c>
      <c r="T10" s="34">
        <f t="shared" ref="T10" si="11">LOG10(Q10)</f>
        <v>3.5434328106007538</v>
      </c>
      <c r="U10" s="16">
        <f t="shared" ref="U10" si="12">LOG10(R10)</f>
        <v>3.5434328106007538</v>
      </c>
      <c r="V10" s="35">
        <f>LOG10(S10)</f>
        <v>8.7987053157040602</v>
      </c>
      <c r="W10" s="34">
        <f>$M$8-T10</f>
        <v>5.5797835966168101</v>
      </c>
      <c r="X10" s="16">
        <f t="shared" ref="X10:Y10" si="13">$M$8-U10</f>
        <v>5.5797835966168101</v>
      </c>
      <c r="Y10" s="35">
        <f t="shared" si="13"/>
        <v>0.32451109151350366</v>
      </c>
      <c r="Z10" s="39">
        <f t="shared" ref="Z10:Z11" si="14">AVERAGE(W10:Y10)</f>
        <v>3.8280260949157081</v>
      </c>
      <c r="AA10" s="14">
        <f t="shared" ref="AA10:AA11" si="15">_xlfn.STDEV.S(W10:Y10)</f>
        <v>3.0341329954862331</v>
      </c>
      <c r="AB10" s="45">
        <f t="shared" ref="AB10:AB23" si="16">AA10/3^0.5</f>
        <v>1.7517575017011022</v>
      </c>
      <c r="AC10" s="11">
        <f t="shared" ref="AC10:AC22" si="17">_xlfn.T.TEST(W10:Y10, W28:Y28, 1, 3)</f>
        <v>0.21132486540518708</v>
      </c>
      <c r="AP10" s="5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2:61" x14ac:dyDescent="0.5">
      <c r="B11" s="11" t="s">
        <v>11</v>
      </c>
      <c r="C11" s="10">
        <v>200000000</v>
      </c>
      <c r="D11" s="10">
        <v>100000000</v>
      </c>
      <c r="E11" s="10">
        <v>300000000</v>
      </c>
      <c r="F11" s="16">
        <f>LOG10(C11)</f>
        <v>8.3010299956639813</v>
      </c>
      <c r="G11" s="16">
        <f t="shared" ref="F11:G13" si="18">LOG10(D11)</f>
        <v>8</v>
      </c>
      <c r="H11" s="16">
        <f t="shared" si="2"/>
        <v>8.4771212547196626</v>
      </c>
      <c r="I11" s="9">
        <f>AVERAGE(F11:G11)</f>
        <v>8.1505149978319906</v>
      </c>
      <c r="J11" s="9">
        <f>STDEV(F11:G11)</f>
        <v>0.21286035127455813</v>
      </c>
      <c r="K11" s="10">
        <f>AVERAGE(C11:E11)</f>
        <v>200000000</v>
      </c>
      <c r="L11" s="10">
        <f>(K11*10)/$O$2</f>
        <v>1397953745.2054553</v>
      </c>
      <c r="M11" s="9">
        <f>(LOG10(L11))</f>
        <v>9.1454928019287163</v>
      </c>
      <c r="N11" s="99">
        <f>AVERAGE(M11:M13)</f>
        <v>9.4843491690731128</v>
      </c>
      <c r="O11" s="52"/>
      <c r="P11" s="65" t="s">
        <v>10</v>
      </c>
      <c r="Q11" s="29">
        <f t="shared" si="8"/>
        <v>698976872.60272765</v>
      </c>
      <c r="R11" s="10">
        <f t="shared" si="8"/>
        <v>559181498.08218217</v>
      </c>
      <c r="S11" s="30">
        <f t="shared" si="8"/>
        <v>10484653089.040915</v>
      </c>
      <c r="T11" s="34">
        <f>LOG10(Q11)</f>
        <v>8.844462806264735</v>
      </c>
      <c r="U11" s="16">
        <f>LOG10(R11)</f>
        <v>8.7475527932566788</v>
      </c>
      <c r="V11" s="35">
        <f>LOG10(S11)</f>
        <v>10.020554065320416</v>
      </c>
      <c r="W11" s="34">
        <f>$M$9-T11</f>
        <v>0.82390874094431865</v>
      </c>
      <c r="X11" s="16">
        <f t="shared" ref="X11" si="19">$M$9-U11</f>
        <v>0.92081875395237489</v>
      </c>
      <c r="Y11" s="35">
        <v>0</v>
      </c>
      <c r="Z11" s="39">
        <f t="shared" si="14"/>
        <v>0.58157583163223114</v>
      </c>
      <c r="AA11" s="14">
        <f t="shared" si="15"/>
        <v>0.50598490452714728</v>
      </c>
      <c r="AB11" s="45">
        <f t="shared" si="16"/>
        <v>0.29213052083463559</v>
      </c>
      <c r="AC11" s="64">
        <f t="shared" si="17"/>
        <v>1.3828422910843669E-3</v>
      </c>
      <c r="AP11" s="5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2" spans="2:61" x14ac:dyDescent="0.5">
      <c r="B12" s="11" t="s">
        <v>12</v>
      </c>
      <c r="C12" s="10">
        <v>2000000000</v>
      </c>
      <c r="D12" s="10">
        <v>800000000</v>
      </c>
      <c r="E12" s="10">
        <v>600000000</v>
      </c>
      <c r="F12" s="16">
        <f t="shared" si="18"/>
        <v>9.3010299956639813</v>
      </c>
      <c r="G12" s="16">
        <f t="shared" si="18"/>
        <v>8.9030899869919438</v>
      </c>
      <c r="H12" s="16">
        <f t="shared" si="2"/>
        <v>8.7781512503836439</v>
      </c>
      <c r="I12" s="9">
        <f>AVERAGE(F12:H12)</f>
        <v>8.9940904110131896</v>
      </c>
      <c r="J12" s="9">
        <f t="shared" ref="J12:J13" si="20">STDEV(F12:H12)</f>
        <v>0.273059248965348</v>
      </c>
      <c r="K12" s="10">
        <f t="shared" ref="K12:K13" si="21">AVERAGE(C12:E12)</f>
        <v>1133333333.3333333</v>
      </c>
      <c r="L12" s="10">
        <f t="shared" ref="L12:L21" si="22">(K12*10)/$O$2</f>
        <v>7921737889.4975796</v>
      </c>
      <c r="M12" s="9">
        <f t="shared" ref="M12:M13" si="23">(LOG10(L12))</f>
        <v>9.8988204685873278</v>
      </c>
      <c r="N12" s="99"/>
      <c r="O12" s="52"/>
      <c r="P12" s="28"/>
      <c r="Q12" s="29"/>
      <c r="R12" s="10"/>
      <c r="S12" s="30"/>
      <c r="T12" s="34"/>
      <c r="U12" s="16"/>
      <c r="V12" s="35"/>
      <c r="W12" s="34"/>
      <c r="X12" s="16"/>
      <c r="Y12" s="35"/>
      <c r="Z12" s="39"/>
      <c r="AA12" s="14"/>
      <c r="AB12" s="45"/>
      <c r="AC12" s="11"/>
      <c r="AP12" s="5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2:61" x14ac:dyDescent="0.5">
      <c r="B13" s="11" t="s">
        <v>13</v>
      </c>
      <c r="C13" s="10">
        <v>100000000</v>
      </c>
      <c r="D13" s="10">
        <v>500000000</v>
      </c>
      <c r="E13" s="10">
        <v>500000000</v>
      </c>
      <c r="F13" s="16">
        <f t="shared" si="18"/>
        <v>8</v>
      </c>
      <c r="G13" s="16">
        <f t="shared" si="18"/>
        <v>8.6989700043360187</v>
      </c>
      <c r="H13" s="11">
        <f>LOG10(E13)</f>
        <v>8.6989700043360187</v>
      </c>
      <c r="I13" s="9">
        <f t="shared" ref="I13" si="24">AVERAGE(F13:H13)</f>
        <v>8.4659800028906798</v>
      </c>
      <c r="J13" s="9">
        <f t="shared" si="20"/>
        <v>0.40355052015887433</v>
      </c>
      <c r="K13" s="10">
        <f t="shared" si="21"/>
        <v>366666666.66666669</v>
      </c>
      <c r="L13" s="10">
        <f t="shared" si="22"/>
        <v>2562915199.543335</v>
      </c>
      <c r="M13" s="9">
        <f t="shared" si="23"/>
        <v>9.4087342367032978</v>
      </c>
      <c r="N13" s="99"/>
      <c r="O13" s="52"/>
      <c r="P13" s="28" t="s">
        <v>11</v>
      </c>
      <c r="Q13" s="29">
        <f t="shared" ref="Q13:S15" si="25">(C29*10)/$O$2</f>
        <v>3494.8843630136384</v>
      </c>
      <c r="R13" s="10">
        <f t="shared" si="25"/>
        <v>3494.8843630136384</v>
      </c>
      <c r="S13" s="30">
        <f t="shared" si="25"/>
        <v>1817339.868767092</v>
      </c>
      <c r="T13" s="34">
        <f t="shared" ref="T13:U13" si="26">LOG10(Q13)</f>
        <v>3.5434328106007538</v>
      </c>
      <c r="U13" s="16">
        <f t="shared" si="26"/>
        <v>3.5434328106007538</v>
      </c>
      <c r="V13" s="35">
        <f>LOG10(S13)</f>
        <v>6.2594361542355532</v>
      </c>
      <c r="W13" s="34">
        <f>$M$11-T13</f>
        <v>5.6020599913279625</v>
      </c>
      <c r="X13" s="16">
        <f t="shared" ref="X13:Y13" si="27">$M$11-U13</f>
        <v>5.6020599913279625</v>
      </c>
      <c r="Y13" s="35">
        <f t="shared" si="27"/>
        <v>2.8860566476931631</v>
      </c>
      <c r="Z13" s="39">
        <f>AVERAGE(W13:Y13)</f>
        <v>4.6967255434496957</v>
      </c>
      <c r="AA13" s="14">
        <f>_xlfn.STDEV.S(W13:Y13)</f>
        <v>1.5680852615674752</v>
      </c>
      <c r="AB13" s="45">
        <f t="shared" si="16"/>
        <v>0.90533444787826656</v>
      </c>
      <c r="AC13" s="11">
        <f t="shared" si="17"/>
        <v>0.21132486540518708</v>
      </c>
      <c r="AP13" s="5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 spans="2:61" x14ac:dyDescent="0.5"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0"/>
      <c r="M14" s="9"/>
      <c r="N14" s="45"/>
      <c r="O14" s="52"/>
      <c r="P14" s="65" t="s">
        <v>12</v>
      </c>
      <c r="Q14" s="29">
        <f t="shared" si="25"/>
        <v>6989768.7260272764</v>
      </c>
      <c r="R14" s="10">
        <f t="shared" si="25"/>
        <v>279590749.04109108</v>
      </c>
      <c r="S14" s="30">
        <f t="shared" si="25"/>
        <v>76887455.986300051</v>
      </c>
      <c r="T14" s="34">
        <f>LOG10(Q14)</f>
        <v>6.844462806264735</v>
      </c>
      <c r="U14" s="16">
        <f>LOG10(R14)</f>
        <v>8.4465227975926975</v>
      </c>
      <c r="V14" s="35">
        <f>LOG10(S14)</f>
        <v>7.8858554914229604</v>
      </c>
      <c r="W14" s="34">
        <f>$M$12-T14</f>
        <v>3.0543576623225928</v>
      </c>
      <c r="X14" s="16">
        <f t="shared" ref="X14:Y14" si="28">$M$12-U14</f>
        <v>1.4522976709946303</v>
      </c>
      <c r="Y14" s="35">
        <f t="shared" si="28"/>
        <v>2.0129649771643674</v>
      </c>
      <c r="Z14" s="39">
        <f t="shared" ref="Z14:Z23" si="29">AVERAGE(W14:Y14)</f>
        <v>2.17320677016053</v>
      </c>
      <c r="AA14" s="14">
        <f t="shared" ref="AA14:AA23" si="30">_xlfn.STDEV.S(W14:Y14)</f>
        <v>0.81296194752301087</v>
      </c>
      <c r="AB14" s="45">
        <f t="shared" si="16"/>
        <v>0.46936379924333277</v>
      </c>
      <c r="AC14" s="64">
        <f t="shared" si="17"/>
        <v>6.1811830472264821E-3</v>
      </c>
      <c r="AP14" s="5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5" spans="2:61" x14ac:dyDescent="0.5">
      <c r="B15" s="11" t="s">
        <v>14</v>
      </c>
      <c r="C15" s="10">
        <v>200000000</v>
      </c>
      <c r="D15" s="10">
        <v>100000000</v>
      </c>
      <c r="E15" s="10">
        <v>300000000</v>
      </c>
      <c r="F15" s="16">
        <f t="shared" ref="F15:G17" si="31">LOG10(C15)</f>
        <v>8.3010299956639813</v>
      </c>
      <c r="G15" s="16">
        <f t="shared" si="31"/>
        <v>8</v>
      </c>
      <c r="H15" s="11">
        <f t="shared" si="2"/>
        <v>8.4771212547196626</v>
      </c>
      <c r="I15" s="9">
        <f t="shared" ref="I15:I17" si="32">AVERAGE(F15:H15)</f>
        <v>8.2593837501278813</v>
      </c>
      <c r="J15" s="9">
        <f t="shared" ref="J15:J17" si="33">STDEV(F15:H15)</f>
        <v>0.24127159022926037</v>
      </c>
      <c r="K15" s="10">
        <f>AVERAGE(C15:E15)</f>
        <v>200000000</v>
      </c>
      <c r="L15" s="10">
        <f t="shared" si="22"/>
        <v>1397953745.2054553</v>
      </c>
      <c r="M15" s="9">
        <f>(LOG10(L15))</f>
        <v>9.1454928019287163</v>
      </c>
      <c r="N15" s="104">
        <f>AVERAGE(M15:M17)</f>
        <v>9.242171005716223</v>
      </c>
      <c r="O15" s="52"/>
      <c r="P15" s="28" t="s">
        <v>13</v>
      </c>
      <c r="Q15" s="29">
        <f t="shared" si="25"/>
        <v>698976872.60272765</v>
      </c>
      <c r="R15" s="10">
        <f t="shared" si="25"/>
        <v>1397953745.2054553</v>
      </c>
      <c r="S15" s="30">
        <f t="shared" si="25"/>
        <v>4193861235.6163659</v>
      </c>
      <c r="T15" s="34">
        <f>LOG10(Q15)</f>
        <v>8.844462806264735</v>
      </c>
      <c r="U15" s="16">
        <f>LOG10(R15)</f>
        <v>9.1454928019287163</v>
      </c>
      <c r="V15" s="35">
        <f>LOG10(S15)</f>
        <v>9.6226140566483789</v>
      </c>
      <c r="W15" s="34">
        <f>$M$13-T15</f>
        <v>0.56427143043856276</v>
      </c>
      <c r="X15" s="16">
        <f t="shared" ref="X15" si="34">$M$13-U15</f>
        <v>0.26324143477458151</v>
      </c>
      <c r="Y15" s="35">
        <v>0</v>
      </c>
      <c r="Z15" s="39">
        <f t="shared" si="29"/>
        <v>0.27583762173771476</v>
      </c>
      <c r="AA15" s="14">
        <f t="shared" si="30"/>
        <v>0.2823465242336145</v>
      </c>
      <c r="AB15" s="45">
        <f t="shared" si="16"/>
        <v>0.16301284177103254</v>
      </c>
      <c r="AC15" s="11">
        <f>_xlfn.T.TEST(W15:Y15, W33:Y33, 1, 3)</f>
        <v>0.15838229249577507</v>
      </c>
      <c r="AP15" s="5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 spans="2:61" x14ac:dyDescent="0.5">
      <c r="B16" s="11" t="s">
        <v>15</v>
      </c>
      <c r="C16" s="10">
        <v>1000000000</v>
      </c>
      <c r="D16" s="10">
        <v>900000000</v>
      </c>
      <c r="E16" s="10">
        <v>700000000</v>
      </c>
      <c r="F16" s="16">
        <f t="shared" si="31"/>
        <v>9</v>
      </c>
      <c r="G16" s="16">
        <f t="shared" si="31"/>
        <v>8.9542425094393252</v>
      </c>
      <c r="H16" s="11">
        <f t="shared" si="2"/>
        <v>8.8450980400142569</v>
      </c>
      <c r="I16" s="9">
        <f t="shared" si="32"/>
        <v>8.9331135164845268</v>
      </c>
      <c r="J16" s="9">
        <f t="shared" si="33"/>
        <v>7.9583164421371866E-2</v>
      </c>
      <c r="K16" s="10">
        <f t="shared" ref="K16:K17" si="35">AVERAGE(C16:E16)</f>
        <v>866666666.66666663</v>
      </c>
      <c r="L16" s="10">
        <f t="shared" si="22"/>
        <v>6057799562.5569725</v>
      </c>
      <c r="M16" s="9">
        <f t="shared" ref="M16:M17" si="36">(LOG10(L16))</f>
        <v>9.7823148995158906</v>
      </c>
      <c r="N16" s="105"/>
      <c r="O16" s="52"/>
      <c r="P16" s="28"/>
      <c r="Q16" s="29"/>
      <c r="R16" s="10"/>
      <c r="S16" s="30"/>
      <c r="T16" s="34"/>
      <c r="U16" s="16"/>
      <c r="V16" s="35"/>
      <c r="W16" s="34"/>
      <c r="X16" s="16"/>
      <c r="Y16" s="35"/>
      <c r="Z16" s="39"/>
      <c r="AA16" s="14"/>
      <c r="AB16" s="45"/>
      <c r="AC16" s="11"/>
      <c r="AP16" s="5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2:61" x14ac:dyDescent="0.5">
      <c r="B17" s="11" t="s">
        <v>16</v>
      </c>
      <c r="C17" s="10">
        <v>100000000</v>
      </c>
      <c r="D17" s="10">
        <v>70000000</v>
      </c>
      <c r="E17" s="10">
        <v>100000000</v>
      </c>
      <c r="F17" s="16">
        <f t="shared" si="31"/>
        <v>8</v>
      </c>
      <c r="G17" s="16">
        <f t="shared" si="31"/>
        <v>7.8450980400142569</v>
      </c>
      <c r="H17" s="11">
        <f t="shared" si="2"/>
        <v>8</v>
      </c>
      <c r="I17" s="9">
        <f t="shared" si="32"/>
        <v>7.9483660133380853</v>
      </c>
      <c r="J17" s="9">
        <f t="shared" si="33"/>
        <v>8.9432688295769405E-2</v>
      </c>
      <c r="K17" s="10">
        <f t="shared" si="35"/>
        <v>90000000</v>
      </c>
      <c r="L17" s="10">
        <f t="shared" si="22"/>
        <v>629079185.34245491</v>
      </c>
      <c r="M17" s="9">
        <f t="shared" si="36"/>
        <v>8.7987053157040602</v>
      </c>
      <c r="N17" s="106"/>
      <c r="O17" s="52"/>
      <c r="P17" s="65" t="s">
        <v>14</v>
      </c>
      <c r="Q17" s="29">
        <f t="shared" ref="Q17:S19" si="37">(C33*10)/$O$2</f>
        <v>48928.381082190936</v>
      </c>
      <c r="R17" s="10">
        <f t="shared" si="37"/>
        <v>20969.306178081832</v>
      </c>
      <c r="S17" s="30">
        <f t="shared" si="37"/>
        <v>838772.24712327321</v>
      </c>
      <c r="T17" s="34">
        <f>LOG10(Q17)</f>
        <v>4.6895608462789919</v>
      </c>
      <c r="U17" s="16">
        <f t="shared" ref="U17:U19" si="38">LOG10(R17)</f>
        <v>4.3215840609843976</v>
      </c>
      <c r="V17" s="35">
        <f>LOG10(S17)</f>
        <v>5.9236440523123601</v>
      </c>
      <c r="W17" s="34">
        <f>$M$15-T17</f>
        <v>4.4559319556497243</v>
      </c>
      <c r="X17" s="16">
        <f t="shared" ref="X17:Y17" si="39">$M$15-U17</f>
        <v>4.8239087409443187</v>
      </c>
      <c r="Y17" s="35">
        <f t="shared" si="39"/>
        <v>3.2218487496163561</v>
      </c>
      <c r="Z17" s="39">
        <f>AVERAGE(W17:Y17)</f>
        <v>4.1672298154034664</v>
      </c>
      <c r="AA17" s="14">
        <f t="shared" si="30"/>
        <v>0.83914286524436299</v>
      </c>
      <c r="AB17" s="45">
        <f t="shared" si="16"/>
        <v>0.48447935913738688</v>
      </c>
      <c r="AC17" s="64">
        <f t="shared" si="17"/>
        <v>4.8802514386709794E-2</v>
      </c>
      <c r="AP17" s="5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2:61" x14ac:dyDescent="0.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0"/>
      <c r="M18" s="9"/>
      <c r="N18" s="45"/>
      <c r="O18" s="52"/>
      <c r="P18" s="65" t="s">
        <v>15</v>
      </c>
      <c r="Q18" s="29">
        <f t="shared" si="37"/>
        <v>174744218.15068191</v>
      </c>
      <c r="R18" s="10">
        <f t="shared" si="37"/>
        <v>69897687.260272771</v>
      </c>
      <c r="S18" s="30">
        <f t="shared" si="37"/>
        <v>1397953745.2054553</v>
      </c>
      <c r="T18" s="34">
        <f t="shared" ref="T18:T19" si="40">LOG10(Q18)</f>
        <v>8.2424028149367725</v>
      </c>
      <c r="U18" s="16">
        <f t="shared" si="38"/>
        <v>7.844462806264735</v>
      </c>
      <c r="V18" s="35">
        <f>LOG10(S18)</f>
        <v>9.1454928019287163</v>
      </c>
      <c r="W18" s="34">
        <f>$M$16-T18</f>
        <v>1.5399120845791181</v>
      </c>
      <c r="X18" s="16">
        <f t="shared" ref="X18:Y18" si="41">$M$16-U18</f>
        <v>1.9378520932511556</v>
      </c>
      <c r="Y18" s="35">
        <f t="shared" si="41"/>
        <v>0.63682209758717434</v>
      </c>
      <c r="Z18" s="39">
        <f t="shared" si="29"/>
        <v>1.3715287584724827</v>
      </c>
      <c r="AA18" s="14">
        <f t="shared" si="30"/>
        <v>0.66665918638192101</v>
      </c>
      <c r="AB18" s="45">
        <f t="shared" si="16"/>
        <v>0.38489586071533899</v>
      </c>
      <c r="AC18" s="64">
        <f t="shared" si="17"/>
        <v>1.2808630672824133E-3</v>
      </c>
      <c r="AP18" s="5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 spans="2:61" x14ac:dyDescent="0.5">
      <c r="B19" s="11" t="s">
        <v>17</v>
      </c>
      <c r="C19" s="10">
        <v>350000000</v>
      </c>
      <c r="D19" s="10">
        <v>400000000</v>
      </c>
      <c r="E19" s="10">
        <v>600000000</v>
      </c>
      <c r="F19" s="16">
        <f t="shared" ref="F19:G21" si="42">LOG10(C19)</f>
        <v>8.5440680443502757</v>
      </c>
      <c r="G19" s="16">
        <f t="shared" si="42"/>
        <v>8.6020599913279625</v>
      </c>
      <c r="H19" s="11">
        <f t="shared" si="2"/>
        <v>8.7781512503836439</v>
      </c>
      <c r="I19" s="9">
        <f t="shared" ref="I19:I21" si="43">AVERAGE(F19:H19)</f>
        <v>8.6414264286872946</v>
      </c>
      <c r="J19" s="9">
        <f t="shared" ref="J19:J21" si="44">STDEV(F19:H19)</f>
        <v>0.12190580022906911</v>
      </c>
      <c r="K19" s="10">
        <f>AVERAGE(C19:E19)</f>
        <v>450000000</v>
      </c>
      <c r="L19" s="10">
        <f t="shared" si="22"/>
        <v>3145395926.7122746</v>
      </c>
      <c r="M19" s="9">
        <f>(LOG10(L19))</f>
        <v>9.497675320040079</v>
      </c>
      <c r="N19" s="104">
        <f>AVERAGE(M19:M21)</f>
        <v>9.3906258919162813</v>
      </c>
      <c r="O19" s="52"/>
      <c r="P19" s="65" t="s">
        <v>16</v>
      </c>
      <c r="Q19" s="29">
        <f t="shared" si="37"/>
        <v>1747442181.5068192</v>
      </c>
      <c r="R19" s="10">
        <f t="shared" si="37"/>
        <v>3494884363.0136385</v>
      </c>
      <c r="S19" s="30">
        <f t="shared" si="37"/>
        <v>5591814980.8218212</v>
      </c>
      <c r="T19" s="34">
        <f t="shared" si="40"/>
        <v>9.2424028149367725</v>
      </c>
      <c r="U19" s="16">
        <f t="shared" si="38"/>
        <v>9.5434328106007538</v>
      </c>
      <c r="V19" s="35">
        <f t="shared" ref="V19" si="45">LOG10(S19)</f>
        <v>9.7475527932566788</v>
      </c>
      <c r="W19" s="34">
        <v>0</v>
      </c>
      <c r="X19" s="16">
        <v>0</v>
      </c>
      <c r="Y19" s="35">
        <v>0</v>
      </c>
      <c r="Z19" s="39">
        <f t="shared" si="29"/>
        <v>0</v>
      </c>
      <c r="AA19" s="14">
        <f t="shared" si="30"/>
        <v>0</v>
      </c>
      <c r="AB19" s="45">
        <f t="shared" si="16"/>
        <v>0</v>
      </c>
      <c r="AC19" s="64">
        <f t="shared" si="17"/>
        <v>7.9627458726483132E-3</v>
      </c>
      <c r="AP19" s="5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2:61" x14ac:dyDescent="0.5">
      <c r="B20" s="11" t="s">
        <v>18</v>
      </c>
      <c r="C20" s="10">
        <v>800000000</v>
      </c>
      <c r="D20" s="10">
        <v>100000000</v>
      </c>
      <c r="E20" s="10">
        <v>600000000</v>
      </c>
      <c r="F20" s="16">
        <f t="shared" si="42"/>
        <v>8.9030899869919438</v>
      </c>
      <c r="G20" s="16">
        <f t="shared" si="42"/>
        <v>8</v>
      </c>
      <c r="H20" s="11">
        <f t="shared" si="2"/>
        <v>8.7781512503836439</v>
      </c>
      <c r="I20" s="9">
        <f t="shared" si="43"/>
        <v>8.5604137457918625</v>
      </c>
      <c r="J20" s="9">
        <f t="shared" si="44"/>
        <v>0.48933638412718633</v>
      </c>
      <c r="K20" s="10">
        <f t="shared" ref="K20:K21" si="46">AVERAGE(C20:E20)</f>
        <v>500000000</v>
      </c>
      <c r="L20" s="10">
        <f t="shared" si="22"/>
        <v>3494884363.0136385</v>
      </c>
      <c r="M20" s="9">
        <f t="shared" ref="M20:M21" si="47">(LOG10(L20))</f>
        <v>9.5434328106007538</v>
      </c>
      <c r="N20" s="105"/>
      <c r="O20" s="52"/>
      <c r="P20" s="28"/>
      <c r="Q20" s="29"/>
      <c r="R20" s="10"/>
      <c r="S20" s="30"/>
      <c r="T20" s="34"/>
      <c r="U20" s="16"/>
      <c r="V20" s="35"/>
      <c r="W20" s="34"/>
      <c r="X20" s="16"/>
      <c r="Y20" s="35"/>
      <c r="Z20" s="39"/>
      <c r="AA20" s="14"/>
      <c r="AB20" s="45"/>
      <c r="AC20" s="11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spans="2:61" x14ac:dyDescent="0.5">
      <c r="B21" s="11" t="s">
        <v>19</v>
      </c>
      <c r="C21" s="10">
        <v>100000000</v>
      </c>
      <c r="D21" s="10">
        <v>400000000</v>
      </c>
      <c r="E21" s="10">
        <v>80000000</v>
      </c>
      <c r="F21" s="16">
        <f t="shared" si="42"/>
        <v>8</v>
      </c>
      <c r="G21" s="16">
        <f t="shared" si="42"/>
        <v>8.6020599913279625</v>
      </c>
      <c r="H21" s="11">
        <f t="shared" si="2"/>
        <v>7.9030899869919438</v>
      </c>
      <c r="I21" s="23">
        <f t="shared" si="43"/>
        <v>8.1683833261066354</v>
      </c>
      <c r="J21" s="23">
        <f t="shared" si="44"/>
        <v>0.37868783334485895</v>
      </c>
      <c r="K21" s="10">
        <f t="shared" si="46"/>
        <v>193333333.33333334</v>
      </c>
      <c r="L21" s="10">
        <f t="shared" si="22"/>
        <v>1351355287.0319402</v>
      </c>
      <c r="M21" s="23">
        <f t="shared" si="47"/>
        <v>9.1307695451080093</v>
      </c>
      <c r="N21" s="106"/>
      <c r="O21" s="52"/>
      <c r="P21" s="28" t="s">
        <v>17</v>
      </c>
      <c r="Q21" s="29">
        <f t="shared" ref="Q21:S23" si="48">(C37*10)/$O$2</f>
        <v>3494.8843630136384</v>
      </c>
      <c r="R21" s="10">
        <f t="shared" si="48"/>
        <v>3494.8843630136384</v>
      </c>
      <c r="S21" s="30">
        <f t="shared" si="48"/>
        <v>1118362.9961643643</v>
      </c>
      <c r="T21" s="34">
        <f>LOG10(Q21)</f>
        <v>3.5434328106007538</v>
      </c>
      <c r="U21" s="16">
        <f t="shared" ref="U21" si="49">LOG10(R21)</f>
        <v>3.5434328106007538</v>
      </c>
      <c r="V21" s="35">
        <f>LOG10(S21)</f>
        <v>6.04858278892066</v>
      </c>
      <c r="W21" s="34">
        <f>$M$19-T21</f>
        <v>5.9542425094393252</v>
      </c>
      <c r="X21" s="16">
        <f t="shared" ref="X21:Y21" si="50">$M$19-U21</f>
        <v>5.9542425094393252</v>
      </c>
      <c r="Y21" s="35">
        <f t="shared" si="50"/>
        <v>3.4490925311194189</v>
      </c>
      <c r="Z21" s="39">
        <f t="shared" si="29"/>
        <v>5.1191925166660228</v>
      </c>
      <c r="AA21" s="14">
        <f t="shared" si="30"/>
        <v>1.4463490143433817</v>
      </c>
      <c r="AB21" s="45">
        <f t="shared" si="16"/>
        <v>0.83504999277330139</v>
      </c>
      <c r="AC21" s="11">
        <f t="shared" si="17"/>
        <v>0.21132486540518708</v>
      </c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spans="2:61" x14ac:dyDescent="0.5"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4"/>
      <c r="O22" s="52"/>
      <c r="P22" s="65" t="s">
        <v>18</v>
      </c>
      <c r="Q22" s="29">
        <f t="shared" si="48"/>
        <v>1747442.1815068191</v>
      </c>
      <c r="R22" s="10">
        <f t="shared" si="48"/>
        <v>4193861.2356163659</v>
      </c>
      <c r="S22" s="30">
        <f t="shared" si="48"/>
        <v>1188260683.4246371</v>
      </c>
      <c r="T22" s="34">
        <f>LOG10(Q22)</f>
        <v>6.2424028149367725</v>
      </c>
      <c r="U22" s="16">
        <f>LOG10(R22)</f>
        <v>6.6226140566483789</v>
      </c>
      <c r="V22" s="35">
        <f>LOG10(S22)</f>
        <v>9.0749117276430091</v>
      </c>
      <c r="W22" s="34">
        <f>$M$20-T22</f>
        <v>3.3010299956639813</v>
      </c>
      <c r="X22" s="16">
        <f t="shared" ref="X22:Y22" si="51">$M$20-U22</f>
        <v>2.9208187539523749</v>
      </c>
      <c r="Y22" s="35">
        <f t="shared" si="51"/>
        <v>0.46852108295774464</v>
      </c>
      <c r="Z22" s="39">
        <f t="shared" si="29"/>
        <v>2.2301232775247004</v>
      </c>
      <c r="AA22" s="14">
        <f t="shared" si="30"/>
        <v>1.5373912533926763</v>
      </c>
      <c r="AB22" s="45">
        <f t="shared" si="16"/>
        <v>0.88761325399603785</v>
      </c>
      <c r="AC22" s="64">
        <f t="shared" si="17"/>
        <v>2.5607378450927764E-2</v>
      </c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2:61" ht="14.7" thickBot="1" x14ac:dyDescent="0.55000000000000004">
      <c r="B23" s="11"/>
      <c r="C23" s="100" t="s">
        <v>44</v>
      </c>
      <c r="D23" s="101"/>
      <c r="E23" s="101"/>
      <c r="F23" s="101"/>
      <c r="G23" s="101"/>
      <c r="H23" s="102"/>
      <c r="I23" s="9" t="s">
        <v>37</v>
      </c>
      <c r="J23" s="104" t="s">
        <v>27</v>
      </c>
      <c r="K23" s="9" t="s">
        <v>37</v>
      </c>
      <c r="L23" s="9" t="s">
        <v>37</v>
      </c>
      <c r="M23" s="9" t="s">
        <v>37</v>
      </c>
      <c r="N23" s="4"/>
      <c r="O23" s="52"/>
      <c r="P23" s="65" t="s">
        <v>19</v>
      </c>
      <c r="Q23" s="31">
        <f t="shared" si="48"/>
        <v>4892838108.2190933</v>
      </c>
      <c r="R23" s="32">
        <f t="shared" si="48"/>
        <v>6290791853.4245491</v>
      </c>
      <c r="S23" s="33">
        <f t="shared" si="48"/>
        <v>3844372799.3150024</v>
      </c>
      <c r="T23" s="36">
        <f>LOG10(Q23)</f>
        <v>9.6895608462789919</v>
      </c>
      <c r="U23" s="37">
        <f>LOG10(R23)</f>
        <v>9.7987053157040602</v>
      </c>
      <c r="V23" s="38">
        <f>LOG10(S23)</f>
        <v>9.5848254957589791</v>
      </c>
      <c r="W23" s="36">
        <v>0</v>
      </c>
      <c r="X23" s="37">
        <v>0</v>
      </c>
      <c r="Y23" s="38">
        <v>0</v>
      </c>
      <c r="Z23" s="39">
        <f t="shared" si="29"/>
        <v>0</v>
      </c>
      <c r="AA23" s="14">
        <f t="shared" si="30"/>
        <v>0</v>
      </c>
      <c r="AB23" s="45">
        <f t="shared" si="16"/>
        <v>0</v>
      </c>
      <c r="AC23" s="64">
        <f>_xlfn.T.TEST(W23:Y23, W41:Y41, 1, 3)</f>
        <v>6.317289074409757E-33</v>
      </c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2:61" x14ac:dyDescent="0.5">
      <c r="B24" s="14"/>
      <c r="C24" s="100" t="s">
        <v>7</v>
      </c>
      <c r="D24" s="101"/>
      <c r="E24" s="102"/>
      <c r="F24" s="100" t="s">
        <v>35</v>
      </c>
      <c r="G24" s="101"/>
      <c r="H24" s="102"/>
      <c r="I24" s="9" t="s">
        <v>36</v>
      </c>
      <c r="J24" s="106"/>
      <c r="K24" s="9" t="s">
        <v>7</v>
      </c>
      <c r="L24" s="9" t="s">
        <v>38</v>
      </c>
      <c r="M24" s="12" t="s">
        <v>39</v>
      </c>
      <c r="N24" s="4"/>
      <c r="O24" s="52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8"/>
      <c r="AC24" s="8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spans="2:61" ht="14.7" thickBot="1" x14ac:dyDescent="0.55000000000000004">
      <c r="B25" s="11" t="s">
        <v>8</v>
      </c>
      <c r="C25" s="10">
        <v>500</v>
      </c>
      <c r="D25" s="10">
        <v>500</v>
      </c>
      <c r="E25" s="10">
        <v>500000</v>
      </c>
      <c r="F25" s="16">
        <f>LOG10(C25)</f>
        <v>2.6989700043360187</v>
      </c>
      <c r="G25" s="16">
        <f>LOG10(D25)</f>
        <v>2.6989700043360187</v>
      </c>
      <c r="H25" s="16">
        <f>LOG10(E25)</f>
        <v>5.6989700043360187</v>
      </c>
      <c r="I25" s="9">
        <f>AVERAGE(F25:H25)</f>
        <v>3.6989700043360187</v>
      </c>
      <c r="J25" s="9">
        <f>STDEV(F25:H25)</f>
        <v>1.7320508075688772</v>
      </c>
      <c r="K25" s="10">
        <f>AVERAGE(C25:E25)</f>
        <v>167000</v>
      </c>
      <c r="L25" s="10">
        <f>((K25*10)/$O$2)</f>
        <v>1167291.3772465552</v>
      </c>
      <c r="M25" s="23">
        <f t="shared" ref="M25" si="52">(LOG10(L25))</f>
        <v>6.0671792774123183</v>
      </c>
      <c r="N25" s="4"/>
      <c r="O25" s="52"/>
      <c r="P25" s="107" t="s">
        <v>46</v>
      </c>
      <c r="Q25" s="108"/>
      <c r="R25" s="108"/>
      <c r="S25" s="108"/>
      <c r="T25" s="108"/>
      <c r="U25" s="108"/>
      <c r="V25" s="108"/>
      <c r="W25" s="108"/>
      <c r="X25" s="108"/>
      <c r="Y25" s="109"/>
      <c r="Z25" s="45" t="s">
        <v>37</v>
      </c>
      <c r="AA25" s="111" t="s">
        <v>27</v>
      </c>
      <c r="AB25" s="99" t="s">
        <v>60</v>
      </c>
      <c r="AC25" s="8"/>
    </row>
    <row r="26" spans="2:61" x14ac:dyDescent="0.5">
      <c r="B26" s="11" t="s">
        <v>9</v>
      </c>
      <c r="C26" s="10">
        <v>500</v>
      </c>
      <c r="D26" s="10">
        <v>500</v>
      </c>
      <c r="E26" s="10">
        <v>90000000</v>
      </c>
      <c r="F26" s="16">
        <f t="shared" ref="F26:G26" si="53">LOG10(C26)</f>
        <v>2.6989700043360187</v>
      </c>
      <c r="G26" s="16">
        <f t="shared" si="53"/>
        <v>2.6989700043360187</v>
      </c>
      <c r="H26" s="16">
        <f>LOG10(E26)</f>
        <v>7.9542425094393252</v>
      </c>
      <c r="I26" s="9">
        <f>AVERAGE(F26:H26)</f>
        <v>4.4507275060371212</v>
      </c>
      <c r="J26" s="9">
        <f>STDEV(F26:H26)</f>
        <v>3.0341329954862322</v>
      </c>
      <c r="K26" s="10">
        <f>AVERAGE(C26:E26)</f>
        <v>30000333.333333332</v>
      </c>
      <c r="L26" s="10">
        <f t="shared" ref="L26:L39" si="54">((K26*10)/$O$2)</f>
        <v>209695391.70372698</v>
      </c>
      <c r="M26" s="23">
        <f>(LOG10(L26))</f>
        <v>8.321588886451833</v>
      </c>
      <c r="N26" s="4"/>
      <c r="O26" s="52"/>
      <c r="P26" s="27"/>
      <c r="Q26" s="119" t="s">
        <v>38</v>
      </c>
      <c r="R26" s="120"/>
      <c r="S26" s="121"/>
      <c r="T26" s="116" t="s">
        <v>58</v>
      </c>
      <c r="U26" s="117"/>
      <c r="V26" s="118"/>
      <c r="W26" s="117" t="s">
        <v>59</v>
      </c>
      <c r="X26" s="117"/>
      <c r="Y26" s="118"/>
      <c r="Z26" s="47" t="s">
        <v>58</v>
      </c>
      <c r="AA26" s="112"/>
      <c r="AB26" s="99"/>
      <c r="AC26" s="13"/>
    </row>
    <row r="27" spans="2:61" x14ac:dyDescent="0.5">
      <c r="B27" s="11" t="s">
        <v>10</v>
      </c>
      <c r="C27" s="10">
        <v>100000000</v>
      </c>
      <c r="D27" s="10">
        <v>80000000</v>
      </c>
      <c r="E27" s="10">
        <v>1500000000</v>
      </c>
      <c r="F27" s="16">
        <f>LOG10(C27)</f>
        <v>8</v>
      </c>
      <c r="G27" s="16">
        <f>LOG10(D27)</f>
        <v>7.9030899869919438</v>
      </c>
      <c r="H27" s="16">
        <f>LOG10(E27)</f>
        <v>9.1760912590556813</v>
      </c>
      <c r="I27" s="9">
        <f>AVERAGE(F27:H27)</f>
        <v>8.3597270820158744</v>
      </c>
      <c r="J27" s="9">
        <f>STDEV(F27:H27)</f>
        <v>0.70865064723085913</v>
      </c>
      <c r="K27" s="10">
        <f>AVERAGE(C27:E27)</f>
        <v>560000000</v>
      </c>
      <c r="L27" s="10">
        <f t="shared" si="54"/>
        <v>3914270486.5752749</v>
      </c>
      <c r="M27" s="23">
        <f>(LOG10(L27))</f>
        <v>9.5926508332709357</v>
      </c>
      <c r="N27" s="4"/>
      <c r="O27" s="52"/>
      <c r="P27" s="28" t="s">
        <v>8</v>
      </c>
      <c r="Q27" s="29">
        <f>(C43*10)/$O$2</f>
        <v>3494.8843630136384</v>
      </c>
      <c r="R27" s="10">
        <f t="shared" ref="R27:S27" si="55">(D43*10)/$O$2</f>
        <v>3494.8843630136384</v>
      </c>
      <c r="S27" s="30">
        <f t="shared" si="55"/>
        <v>3494.8843630136384</v>
      </c>
      <c r="T27" s="34">
        <f t="shared" ref="T27:T32" si="56">LOG10(Q27)</f>
        <v>3.5434328106007538</v>
      </c>
      <c r="U27" s="16">
        <f t="shared" ref="U27:U32" si="57">LOG10(R27)</f>
        <v>3.5434328106007538</v>
      </c>
      <c r="V27" s="35">
        <f t="shared" ref="V27:V32" si="58">LOG10(S27)</f>
        <v>3.5434328106007538</v>
      </c>
      <c r="W27" s="60">
        <f>$M$7-T27</f>
        <v>6.5720967679505193</v>
      </c>
      <c r="X27" s="16">
        <f t="shared" ref="X27" si="59">$M$7-U27</f>
        <v>6.5720967679505193</v>
      </c>
      <c r="Y27" s="35">
        <f t="shared" ref="Y27" si="60">$M$7-V27</f>
        <v>6.5720967679505193</v>
      </c>
      <c r="Z27" s="39">
        <f>AVERAGE(W27:Y27)</f>
        <v>6.5720967679505193</v>
      </c>
      <c r="AA27" s="62">
        <f>_xlfn.STDEV.S(W27:Y27)</f>
        <v>0</v>
      </c>
      <c r="AB27" s="45">
        <f>AA27/3^0.5</f>
        <v>0</v>
      </c>
      <c r="AC27" s="13"/>
    </row>
    <row r="28" spans="2:61" x14ac:dyDescent="0.5"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0"/>
      <c r="M28" s="23"/>
      <c r="N28" s="4"/>
      <c r="O28" s="52"/>
      <c r="P28" s="28" t="s">
        <v>9</v>
      </c>
      <c r="Q28" s="29">
        <f t="shared" ref="Q28:Q41" si="61">(C44*10)/$O$2</f>
        <v>3494.8843630136384</v>
      </c>
      <c r="R28" s="10">
        <f t="shared" ref="R28:R41" si="62">(D44*10)/$O$2</f>
        <v>3494.8843630136384</v>
      </c>
      <c r="S28" s="30">
        <f t="shared" ref="S28:S41" si="63">(E44*10)/$O$2</f>
        <v>3494.8843630136384</v>
      </c>
      <c r="T28" s="34">
        <f t="shared" si="56"/>
        <v>3.5434328106007538</v>
      </c>
      <c r="U28" s="16">
        <f t="shared" si="57"/>
        <v>3.5434328106007538</v>
      </c>
      <c r="V28" s="35">
        <f t="shared" si="58"/>
        <v>3.5434328106007538</v>
      </c>
      <c r="W28" s="60">
        <f>$M$8-T28</f>
        <v>5.5797835966168101</v>
      </c>
      <c r="X28" s="16">
        <f t="shared" ref="X28" si="64">$M$8-U28</f>
        <v>5.5797835966168101</v>
      </c>
      <c r="Y28" s="35">
        <f t="shared" ref="Y28" si="65">$M$8-V28</f>
        <v>5.5797835966168101</v>
      </c>
      <c r="Z28" s="39">
        <f t="shared" ref="Z28:Z29" si="66">AVERAGE(W28:Y28)</f>
        <v>5.5797835966168101</v>
      </c>
      <c r="AA28" s="62">
        <v>0</v>
      </c>
      <c r="AB28" s="45">
        <f t="shared" ref="AB28:AB41" si="67">AA28/3^0.5</f>
        <v>0</v>
      </c>
      <c r="AC28" s="13"/>
    </row>
    <row r="29" spans="2:61" x14ac:dyDescent="0.5">
      <c r="B29" s="11" t="s">
        <v>11</v>
      </c>
      <c r="C29" s="26">
        <v>500</v>
      </c>
      <c r="D29" s="10">
        <v>500</v>
      </c>
      <c r="E29" s="10">
        <v>260000</v>
      </c>
      <c r="F29" s="16">
        <f t="shared" ref="F29:G29" si="68">LOG10(C29)</f>
        <v>2.6989700043360187</v>
      </c>
      <c r="G29" s="16">
        <f t="shared" si="68"/>
        <v>2.6989700043360187</v>
      </c>
      <c r="H29" s="16">
        <f>LOG10(E29)</f>
        <v>5.4149733479708182</v>
      </c>
      <c r="I29" s="9">
        <f>AVERAGE(F29:H29)</f>
        <v>3.6043044522142851</v>
      </c>
      <c r="J29" s="9">
        <f>STDEV(F29:H29)</f>
        <v>1.5680852615674752</v>
      </c>
      <c r="K29" s="10">
        <f>AVERAGE(C29:E29)</f>
        <v>87000</v>
      </c>
      <c r="L29" s="10">
        <f t="shared" si="54"/>
        <v>608109.87916437304</v>
      </c>
      <c r="M29" s="23">
        <f t="shared" ref="M29:M30" si="69">(LOG10(L29))</f>
        <v>5.7839820588833533</v>
      </c>
      <c r="N29" s="4"/>
      <c r="O29" s="52"/>
      <c r="P29" s="28" t="s">
        <v>10</v>
      </c>
      <c r="Q29" s="29">
        <f t="shared" si="61"/>
        <v>3494.8843630136384</v>
      </c>
      <c r="R29" s="10">
        <f t="shared" si="62"/>
        <v>3494.8843630136384</v>
      </c>
      <c r="S29" s="30">
        <f t="shared" si="63"/>
        <v>3494.8843630136384</v>
      </c>
      <c r="T29" s="34">
        <f t="shared" si="56"/>
        <v>3.5434328106007538</v>
      </c>
      <c r="U29" s="16">
        <f t="shared" si="57"/>
        <v>3.5434328106007538</v>
      </c>
      <c r="V29" s="35">
        <f t="shared" si="58"/>
        <v>3.5434328106007538</v>
      </c>
      <c r="W29" s="60">
        <f>$M$9-T29</f>
        <v>6.1249387366082999</v>
      </c>
      <c r="X29" s="16">
        <f t="shared" ref="X29" si="70">$M$9-U29</f>
        <v>6.1249387366082999</v>
      </c>
      <c r="Y29" s="35">
        <f t="shared" ref="Y29" si="71">$M$9-V29</f>
        <v>6.1249387366082999</v>
      </c>
      <c r="Z29" s="39">
        <f t="shared" si="66"/>
        <v>6.1249387366082999</v>
      </c>
      <c r="AA29" s="62">
        <f t="shared" ref="AA29:AA39" si="72">_xlfn.STDEV.S(W29:Y29)</f>
        <v>0</v>
      </c>
      <c r="AB29" s="45">
        <f t="shared" si="67"/>
        <v>0</v>
      </c>
      <c r="AC29" s="13"/>
    </row>
    <row r="30" spans="2:61" x14ac:dyDescent="0.5">
      <c r="B30" s="11" t="s">
        <v>12</v>
      </c>
      <c r="C30" s="10">
        <v>1000000</v>
      </c>
      <c r="D30" s="10">
        <v>40000000</v>
      </c>
      <c r="E30" s="10">
        <v>11000000</v>
      </c>
      <c r="F30" s="16">
        <f>LOG10(C30)</f>
        <v>6</v>
      </c>
      <c r="G30" s="16">
        <f>LOG10(D30)</f>
        <v>7.6020599913279625</v>
      </c>
      <c r="H30" s="16">
        <f>LOG10(E30)</f>
        <v>7.0413926851582254</v>
      </c>
      <c r="I30" s="9">
        <f>AVERAGE(F30:H30)</f>
        <v>6.8811508921620623</v>
      </c>
      <c r="J30" s="9">
        <f>STDEV(F30:H30)</f>
        <v>0.81296194752301087</v>
      </c>
      <c r="K30" s="10">
        <f>AVERAGE(C30:E30)</f>
        <v>17333333.333333332</v>
      </c>
      <c r="L30" s="10">
        <f t="shared" si="54"/>
        <v>121155991.25113945</v>
      </c>
      <c r="M30" s="23">
        <f t="shared" si="69"/>
        <v>8.0833448951798719</v>
      </c>
      <c r="N30" s="4"/>
      <c r="O30" s="52"/>
      <c r="P30" s="28"/>
      <c r="Q30" s="29"/>
      <c r="R30" s="10"/>
      <c r="S30" s="30"/>
      <c r="T30" s="34"/>
      <c r="U30" s="16"/>
      <c r="V30" s="35"/>
      <c r="W30" s="60"/>
      <c r="X30" s="16"/>
      <c r="Y30" s="35"/>
      <c r="Z30" s="39"/>
      <c r="AA30" s="62"/>
      <c r="AB30" s="45"/>
      <c r="AC30" s="13"/>
    </row>
    <row r="31" spans="2:61" x14ac:dyDescent="0.5">
      <c r="B31" s="11" t="s">
        <v>13</v>
      </c>
      <c r="C31" s="10">
        <v>100000000</v>
      </c>
      <c r="D31" s="10">
        <v>200000000</v>
      </c>
      <c r="E31" s="10">
        <v>600000000</v>
      </c>
      <c r="F31" s="16">
        <f>LOG10(C31)</f>
        <v>8</v>
      </c>
      <c r="G31" s="16">
        <f>LOG10(D31)</f>
        <v>8.3010299956639813</v>
      </c>
      <c r="H31" s="16">
        <f>LOG10(E31)</f>
        <v>8.7781512503836439</v>
      </c>
      <c r="I31" s="9">
        <f>AVERAGE(F31:H31)</f>
        <v>8.3597270820158744</v>
      </c>
      <c r="J31" s="9">
        <f>STDEV(F31:H31)</f>
        <v>0.39238227926100122</v>
      </c>
      <c r="K31" s="10">
        <f>AVERAGE(C31:E31)</f>
        <v>300000000</v>
      </c>
      <c r="L31" s="10">
        <f t="shared" si="54"/>
        <v>2096930617.808183</v>
      </c>
      <c r="M31" s="23">
        <f>(LOG10(L31))</f>
        <v>9.3215840609843976</v>
      </c>
      <c r="N31" s="4"/>
      <c r="O31" s="52"/>
      <c r="P31" s="28" t="s">
        <v>11</v>
      </c>
      <c r="Q31" s="29">
        <f t="shared" si="61"/>
        <v>3494.8843630136384</v>
      </c>
      <c r="R31" s="10">
        <f t="shared" si="62"/>
        <v>3494.8843630136384</v>
      </c>
      <c r="S31" s="30">
        <f t="shared" si="63"/>
        <v>3494.8843630136384</v>
      </c>
      <c r="T31" s="34">
        <f t="shared" si="56"/>
        <v>3.5434328106007538</v>
      </c>
      <c r="U31" s="16">
        <f t="shared" si="57"/>
        <v>3.5434328106007538</v>
      </c>
      <c r="V31" s="35">
        <f t="shared" si="58"/>
        <v>3.5434328106007538</v>
      </c>
      <c r="W31" s="60">
        <f>$M$11-T31</f>
        <v>5.6020599913279625</v>
      </c>
      <c r="X31" s="16">
        <f>$M$11-U31</f>
        <v>5.6020599913279625</v>
      </c>
      <c r="Y31" s="35">
        <f t="shared" ref="Y31" si="73">$M$11-V31</f>
        <v>5.6020599913279625</v>
      </c>
      <c r="Z31" s="39">
        <f>AVERAGE(W31:Y31)</f>
        <v>5.6020599913279625</v>
      </c>
      <c r="AA31" s="62">
        <v>0</v>
      </c>
      <c r="AB31" s="45">
        <f t="shared" si="67"/>
        <v>0</v>
      </c>
      <c r="AC31" s="13"/>
    </row>
    <row r="32" spans="2:61" x14ac:dyDescent="0.5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0"/>
      <c r="M32" s="23"/>
      <c r="N32" s="4"/>
      <c r="O32" s="52"/>
      <c r="P32" s="28" t="s">
        <v>12</v>
      </c>
      <c r="Q32" s="29">
        <f t="shared" si="61"/>
        <v>3494.8843630136384</v>
      </c>
      <c r="R32" s="10">
        <f t="shared" si="62"/>
        <v>3494.8843630136384</v>
      </c>
      <c r="S32" s="30">
        <f t="shared" si="63"/>
        <v>3494.8843630136384</v>
      </c>
      <c r="T32" s="34">
        <f t="shared" si="56"/>
        <v>3.5434328106007538</v>
      </c>
      <c r="U32" s="16">
        <f t="shared" si="57"/>
        <v>3.5434328106007538</v>
      </c>
      <c r="V32" s="35">
        <f t="shared" si="58"/>
        <v>3.5434328106007538</v>
      </c>
      <c r="W32" s="60">
        <f>$M$12-T32</f>
        <v>6.355387657986574</v>
      </c>
      <c r="X32" s="16">
        <f t="shared" ref="X32" si="74">$M$12-U32</f>
        <v>6.355387657986574</v>
      </c>
      <c r="Y32" s="35">
        <f t="shared" ref="Y32" si="75">$M$12-V32</f>
        <v>6.355387657986574</v>
      </c>
      <c r="Z32" s="39">
        <f t="shared" ref="Z32:Z33" si="76">AVERAGE(W32:Y32)</f>
        <v>6.3553876579865731</v>
      </c>
      <c r="AA32" s="62">
        <v>0</v>
      </c>
      <c r="AB32" s="45">
        <f t="shared" si="67"/>
        <v>0</v>
      </c>
      <c r="AC32" s="13"/>
    </row>
    <row r="33" spans="2:29" x14ac:dyDescent="0.5">
      <c r="B33" s="11" t="s">
        <v>14</v>
      </c>
      <c r="C33" s="10">
        <v>7000</v>
      </c>
      <c r="D33" s="10">
        <v>3000</v>
      </c>
      <c r="E33" s="10">
        <v>120000</v>
      </c>
      <c r="F33" s="16">
        <f t="shared" ref="F33:H35" si="77">LOG10(C33)</f>
        <v>3.8450980400142569</v>
      </c>
      <c r="G33" s="16">
        <f t="shared" si="77"/>
        <v>3.4771212547196626</v>
      </c>
      <c r="H33" s="16">
        <f>LOG10(E33)</f>
        <v>5.0791812460476251</v>
      </c>
      <c r="I33" s="9">
        <f>AVERAGE(F33:H33)</f>
        <v>4.1338001802605149</v>
      </c>
      <c r="J33" s="9">
        <f>STDEV(F33:H33)</f>
        <v>0.83914286524436088</v>
      </c>
      <c r="K33" s="10">
        <f>AVERAGE(C33:E33)</f>
        <v>43333.333333333336</v>
      </c>
      <c r="L33" s="10">
        <f t="shared" si="54"/>
        <v>302889.97812784871</v>
      </c>
      <c r="M33" s="23">
        <f>(LOG10(L33))</f>
        <v>5.4812849038519094</v>
      </c>
      <c r="N33" s="4"/>
      <c r="O33" s="52"/>
      <c r="P33" s="28" t="s">
        <v>13</v>
      </c>
      <c r="Q33" s="29">
        <f>(C49*10)/$O$2</f>
        <v>698976872.60272765</v>
      </c>
      <c r="R33" s="10">
        <f t="shared" si="62"/>
        <v>209693061.78081831</v>
      </c>
      <c r="S33" s="30">
        <f t="shared" si="63"/>
        <v>3494.8843630136384</v>
      </c>
      <c r="T33" s="34">
        <f>LOG10(Q33)</f>
        <v>8.844462806264735</v>
      </c>
      <c r="U33" s="16">
        <f>LOG10(R33)</f>
        <v>8.3215840609843976</v>
      </c>
      <c r="V33" s="35">
        <f>LOG10(S33)</f>
        <v>3.5434328106007538</v>
      </c>
      <c r="W33" s="60">
        <f>$M$13-T33</f>
        <v>0.56427143043856276</v>
      </c>
      <c r="X33" s="16">
        <f t="shared" ref="X33" si="78">$M$13-U33</f>
        <v>1.0871501757189002</v>
      </c>
      <c r="Y33" s="35">
        <f>$M$13-V33</f>
        <v>5.865301426102544</v>
      </c>
      <c r="Z33" s="39">
        <f t="shared" si="76"/>
        <v>2.5055743440866691</v>
      </c>
      <c r="AA33" s="62">
        <f t="shared" si="72"/>
        <v>2.9213310484759623</v>
      </c>
      <c r="AB33" s="45">
        <f t="shared" si="67"/>
        <v>1.6866312672296087</v>
      </c>
      <c r="AC33" s="13"/>
    </row>
    <row r="34" spans="2:29" x14ac:dyDescent="0.5">
      <c r="B34" s="11" t="s">
        <v>15</v>
      </c>
      <c r="C34" s="10">
        <v>25000000</v>
      </c>
      <c r="D34" s="10">
        <v>10000000</v>
      </c>
      <c r="E34" s="10">
        <v>200000000</v>
      </c>
      <c r="F34" s="16">
        <f t="shared" si="77"/>
        <v>7.3979400086720375</v>
      </c>
      <c r="G34" s="16">
        <f t="shared" si="77"/>
        <v>7</v>
      </c>
      <c r="H34" s="16">
        <f>LOG10(E34)</f>
        <v>8.3010299956639813</v>
      </c>
      <c r="I34" s="9">
        <f>AVERAGE(F34:H34)</f>
        <v>7.5663233347786729</v>
      </c>
      <c r="J34" s="9">
        <f>STDEV(F34:H34)</f>
        <v>0.66665918638192101</v>
      </c>
      <c r="K34" s="10">
        <f>AVERAGE(C34:E34)</f>
        <v>78333333.333333328</v>
      </c>
      <c r="L34" s="10">
        <f t="shared" si="54"/>
        <v>547531883.53880334</v>
      </c>
      <c r="M34" s="23">
        <f>(LOG10(L34))</f>
        <v>8.7384094138168091</v>
      </c>
      <c r="N34" s="4"/>
      <c r="O34" s="52"/>
      <c r="P34" s="28"/>
      <c r="Q34" s="29"/>
      <c r="R34" s="10"/>
      <c r="S34" s="30"/>
      <c r="T34" s="34"/>
      <c r="U34" s="16"/>
      <c r="V34" s="35"/>
      <c r="W34" s="60"/>
      <c r="X34" s="16"/>
      <c r="Y34" s="35"/>
      <c r="Z34" s="39"/>
      <c r="AA34" s="62"/>
      <c r="AB34" s="45"/>
      <c r="AC34" s="13"/>
    </row>
    <row r="35" spans="2:29" x14ac:dyDescent="0.5">
      <c r="B35" s="11" t="s">
        <v>16</v>
      </c>
      <c r="C35" s="10">
        <v>250000000</v>
      </c>
      <c r="D35" s="10">
        <v>500000000</v>
      </c>
      <c r="E35" s="10">
        <v>800000000</v>
      </c>
      <c r="F35" s="16">
        <f t="shared" si="77"/>
        <v>8.3979400086720375</v>
      </c>
      <c r="G35" s="16">
        <f t="shared" si="77"/>
        <v>8.6989700043360187</v>
      </c>
      <c r="H35" s="16">
        <f t="shared" si="77"/>
        <v>8.9030899869919438</v>
      </c>
      <c r="I35" s="9">
        <f>AVERAGE(F35:H35)</f>
        <v>8.6666666666666661</v>
      </c>
      <c r="J35" s="9">
        <f>STDEV(F35:H35)</f>
        <v>0.25411956706949113</v>
      </c>
      <c r="K35" s="10">
        <f>AVERAGE(C35:E35)</f>
        <v>516666666.66666669</v>
      </c>
      <c r="L35" s="10">
        <f t="shared" si="54"/>
        <v>3611380508.4474263</v>
      </c>
      <c r="M35" s="23">
        <f>(LOG10(L35))</f>
        <v>9.5576732497153642</v>
      </c>
      <c r="N35" s="4"/>
      <c r="O35" s="52"/>
      <c r="P35" s="28" t="s">
        <v>14</v>
      </c>
      <c r="Q35" s="29">
        <f t="shared" si="61"/>
        <v>3494.8843630136384</v>
      </c>
      <c r="R35" s="10">
        <f t="shared" si="62"/>
        <v>3494.8843630136384</v>
      </c>
      <c r="S35" s="30">
        <f t="shared" si="63"/>
        <v>3494.8843630136384</v>
      </c>
      <c r="T35" s="34">
        <f t="shared" ref="T35:T41" si="79">LOG10(Q35)</f>
        <v>3.5434328106007538</v>
      </c>
      <c r="U35" s="16">
        <f t="shared" ref="U35:U41" si="80">LOG10(R35)</f>
        <v>3.5434328106007538</v>
      </c>
      <c r="V35" s="35">
        <f t="shared" ref="V35:V41" si="81">LOG10(S35)</f>
        <v>3.5434328106007538</v>
      </c>
      <c r="W35" s="60">
        <f>$M$15-T35</f>
        <v>5.6020599913279625</v>
      </c>
      <c r="X35" s="16">
        <f>$M$15-U35</f>
        <v>5.6020599913279625</v>
      </c>
      <c r="Y35" s="35">
        <f t="shared" ref="Y35" si="82">$M$15-V35</f>
        <v>5.6020599913279625</v>
      </c>
      <c r="Z35" s="39">
        <f>AVERAGE(W35:Y35)</f>
        <v>5.6020599913279625</v>
      </c>
      <c r="AA35" s="62">
        <f t="shared" si="72"/>
        <v>0</v>
      </c>
      <c r="AB35" s="45">
        <f t="shared" si="67"/>
        <v>0</v>
      </c>
      <c r="AC35" s="13"/>
    </row>
    <row r="36" spans="2:29" x14ac:dyDescent="0.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0"/>
      <c r="M36" s="23"/>
      <c r="N36" s="4"/>
      <c r="O36" s="52"/>
      <c r="P36" s="28" t="s">
        <v>15</v>
      </c>
      <c r="Q36" s="29">
        <f t="shared" si="61"/>
        <v>4892.8381082190936</v>
      </c>
      <c r="R36" s="10">
        <f t="shared" si="62"/>
        <v>111836.29961643643</v>
      </c>
      <c r="S36" s="30">
        <f t="shared" si="63"/>
        <v>3494.8843630136384</v>
      </c>
      <c r="T36" s="34">
        <f t="shared" si="79"/>
        <v>3.6895608462789919</v>
      </c>
      <c r="U36" s="16">
        <f t="shared" si="80"/>
        <v>5.04858278892066</v>
      </c>
      <c r="V36" s="35">
        <f t="shared" si="81"/>
        <v>3.5434328106007538</v>
      </c>
      <c r="W36" s="60">
        <f>$M$16-T36</f>
        <v>6.0927540532368987</v>
      </c>
      <c r="X36" s="16">
        <f t="shared" ref="X36" si="83">$M$16-U36</f>
        <v>4.7337321105952306</v>
      </c>
      <c r="Y36" s="35">
        <f t="shared" ref="Y36" si="84">$M$16-V36</f>
        <v>6.2388820889151368</v>
      </c>
      <c r="Z36" s="39">
        <f t="shared" ref="Z36:Z37" si="85">AVERAGE(W36:Y36)</f>
        <v>5.688456084249089</v>
      </c>
      <c r="AA36" s="62">
        <f t="shared" si="72"/>
        <v>0.83003719802479448</v>
      </c>
      <c r="AB36" s="45">
        <f t="shared" si="67"/>
        <v>0.47922219971701785</v>
      </c>
      <c r="AC36" s="13"/>
    </row>
    <row r="37" spans="2:29" x14ac:dyDescent="0.5">
      <c r="B37" s="11" t="s">
        <v>17</v>
      </c>
      <c r="C37" s="10">
        <v>500</v>
      </c>
      <c r="D37" s="10">
        <v>500</v>
      </c>
      <c r="E37" s="10">
        <v>160000</v>
      </c>
      <c r="F37" s="16">
        <f t="shared" ref="F37:G37" si="86">LOG10(C37)</f>
        <v>2.6989700043360187</v>
      </c>
      <c r="G37" s="16">
        <f t="shared" si="86"/>
        <v>2.6989700043360187</v>
      </c>
      <c r="H37" s="16">
        <f>LOG10(E37)</f>
        <v>5.204119982655925</v>
      </c>
      <c r="I37" s="9">
        <f>AVERAGE(F37:H37)</f>
        <v>3.5340199971093207</v>
      </c>
      <c r="J37" s="9">
        <f>STDEV(F37:H37)</f>
        <v>1.446349014343383</v>
      </c>
      <c r="K37" s="10">
        <f>AVERAGE(C37:E37)</f>
        <v>53666.666666666664</v>
      </c>
      <c r="L37" s="10">
        <f t="shared" si="54"/>
        <v>375117.58829679718</v>
      </c>
      <c r="M37" s="23">
        <f>(LOG10(L37))</f>
        <v>5.5741674275769224</v>
      </c>
      <c r="N37" s="4"/>
      <c r="O37" s="52"/>
      <c r="P37" s="28" t="s">
        <v>16</v>
      </c>
      <c r="Q37" s="29">
        <f t="shared" si="61"/>
        <v>5591.8149808218213</v>
      </c>
      <c r="R37" s="10">
        <f t="shared" si="62"/>
        <v>244641.9054109547</v>
      </c>
      <c r="S37" s="30">
        <f t="shared" si="63"/>
        <v>3494.8843630136384</v>
      </c>
      <c r="T37" s="34">
        <f t="shared" si="79"/>
        <v>3.7475527932566788</v>
      </c>
      <c r="U37" s="16">
        <f t="shared" si="80"/>
        <v>5.3885308506150107</v>
      </c>
      <c r="V37" s="35">
        <f t="shared" si="81"/>
        <v>3.5434328106007538</v>
      </c>
      <c r="W37" s="60">
        <f>$M$17-T37</f>
        <v>5.0511525224473814</v>
      </c>
      <c r="X37" s="16">
        <f>$M$17-U37</f>
        <v>3.4101744650890495</v>
      </c>
      <c r="Y37" s="35">
        <f>$M$17-V37</f>
        <v>5.2552725051033065</v>
      </c>
      <c r="Z37" s="39">
        <f t="shared" si="85"/>
        <v>4.5721998308799128</v>
      </c>
      <c r="AA37" s="62">
        <f t="shared" si="72"/>
        <v>1.0115055387321932</v>
      </c>
      <c r="AB37" s="45">
        <f t="shared" si="67"/>
        <v>0.58399299507382918</v>
      </c>
      <c r="AC37" s="13"/>
    </row>
    <row r="38" spans="2:29" x14ac:dyDescent="0.5">
      <c r="B38" s="11" t="s">
        <v>18</v>
      </c>
      <c r="C38" s="10">
        <v>250000</v>
      </c>
      <c r="D38" s="10">
        <v>600000</v>
      </c>
      <c r="E38" s="10">
        <v>170000000</v>
      </c>
      <c r="F38" s="16">
        <f>LOG10(C38)</f>
        <v>5.3979400086720375</v>
      </c>
      <c r="G38" s="16">
        <f>LOG10(D38)</f>
        <v>5.7781512503836439</v>
      </c>
      <c r="H38" s="16">
        <f>LOG10(E38)</f>
        <v>8.2304489213782741</v>
      </c>
      <c r="I38" s="9">
        <f>AVERAGE(F38:H38)</f>
        <v>6.4688467268113188</v>
      </c>
      <c r="J38" s="9">
        <f>STDEV(F38:H38)</f>
        <v>1.5373912533926726</v>
      </c>
      <c r="K38" s="10">
        <f>AVERAGE(C38:E38)</f>
        <v>56950000</v>
      </c>
      <c r="L38" s="10">
        <f t="shared" si="54"/>
        <v>398067328.94725341</v>
      </c>
      <c r="M38" s="23">
        <f>(LOG10(L38))</f>
        <v>8.5999565346798548</v>
      </c>
      <c r="N38" s="4"/>
      <c r="O38" s="4"/>
      <c r="P38" s="28"/>
      <c r="Q38" s="29"/>
      <c r="R38" s="10"/>
      <c r="S38" s="30"/>
      <c r="T38" s="34"/>
      <c r="U38" s="16"/>
      <c r="V38" s="35"/>
      <c r="W38" s="60"/>
      <c r="X38" s="16"/>
      <c r="Y38" s="35"/>
      <c r="Z38" s="39"/>
      <c r="AA38" s="62"/>
      <c r="AB38" s="45"/>
      <c r="AC38" s="13"/>
    </row>
    <row r="39" spans="2:29" x14ac:dyDescent="0.5">
      <c r="B39" s="11" t="s">
        <v>19</v>
      </c>
      <c r="C39" s="10">
        <v>700000000</v>
      </c>
      <c r="D39" s="10">
        <v>900000000</v>
      </c>
      <c r="E39" s="10">
        <v>550000000</v>
      </c>
      <c r="F39" s="16">
        <f>LOG10(C39)</f>
        <v>8.8450980400142569</v>
      </c>
      <c r="G39" s="16">
        <f>LOG10(D39)</f>
        <v>8.9542425094393252</v>
      </c>
      <c r="H39" s="16">
        <f>LOG10(E39)</f>
        <v>8.7403626894942441</v>
      </c>
      <c r="I39" s="9">
        <f>AVERAGE(F39:H39)</f>
        <v>8.8465677463159427</v>
      </c>
      <c r="J39" s="9">
        <f>STDEV(F39:H39)</f>
        <v>0.10694748417982999</v>
      </c>
      <c r="K39" s="10">
        <f>AVERAGE(C39:E39)</f>
        <v>716666666.66666663</v>
      </c>
      <c r="L39" s="10">
        <f t="shared" si="54"/>
        <v>5009334253.6528816</v>
      </c>
      <c r="M39" s="23">
        <f>(LOG10(L39))</f>
        <v>9.6997800114606783</v>
      </c>
      <c r="N39" s="4"/>
      <c r="P39" s="28" t="s">
        <v>17</v>
      </c>
      <c r="Q39" s="29">
        <f t="shared" si="61"/>
        <v>3494.8843630136384</v>
      </c>
      <c r="R39" s="10">
        <f t="shared" si="62"/>
        <v>3494.8843630136384</v>
      </c>
      <c r="S39" s="30">
        <f t="shared" si="63"/>
        <v>3494.8843630136384</v>
      </c>
      <c r="T39" s="34">
        <f t="shared" si="79"/>
        <v>3.5434328106007538</v>
      </c>
      <c r="U39" s="16">
        <f t="shared" si="80"/>
        <v>3.5434328106007538</v>
      </c>
      <c r="V39" s="35">
        <f t="shared" si="81"/>
        <v>3.5434328106007538</v>
      </c>
      <c r="W39" s="60">
        <f>$M$19-T39</f>
        <v>5.9542425094393252</v>
      </c>
      <c r="X39" s="16">
        <f t="shared" ref="X39" si="87">$M$19-U39</f>
        <v>5.9542425094393252</v>
      </c>
      <c r="Y39" s="35">
        <f t="shared" ref="Y39" si="88">$M$19-V39</f>
        <v>5.9542425094393252</v>
      </c>
      <c r="Z39" s="39">
        <f t="shared" ref="Z39:Z41" si="89">AVERAGE(W39:Y39)</f>
        <v>5.9542425094393252</v>
      </c>
      <c r="AA39" s="62">
        <f t="shared" si="72"/>
        <v>0</v>
      </c>
      <c r="AB39" s="45">
        <f t="shared" si="67"/>
        <v>0</v>
      </c>
      <c r="AC39" s="13"/>
    </row>
    <row r="40" spans="2:29" x14ac:dyDescent="0.5"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4"/>
      <c r="P40" s="28" t="s">
        <v>18</v>
      </c>
      <c r="Q40" s="29">
        <f t="shared" si="61"/>
        <v>3494.8843630136384</v>
      </c>
      <c r="R40" s="10">
        <f t="shared" si="62"/>
        <v>3494.8843630136384</v>
      </c>
      <c r="S40" s="30">
        <f t="shared" si="63"/>
        <v>3494.8843630136384</v>
      </c>
      <c r="T40" s="34">
        <f t="shared" si="79"/>
        <v>3.5434328106007538</v>
      </c>
      <c r="U40" s="16">
        <f t="shared" si="80"/>
        <v>3.5434328106007538</v>
      </c>
      <c r="V40" s="35">
        <f t="shared" si="81"/>
        <v>3.5434328106007538</v>
      </c>
      <c r="W40" s="63">
        <f>$M$20-T40</f>
        <v>6</v>
      </c>
      <c r="X40" s="16">
        <f t="shared" ref="X40" si="90">$M$20-U40</f>
        <v>6</v>
      </c>
      <c r="Y40" s="35">
        <f t="shared" ref="Y40" si="91">$M$20-V40</f>
        <v>6</v>
      </c>
      <c r="Z40" s="39">
        <f t="shared" si="89"/>
        <v>6</v>
      </c>
      <c r="AA40" s="62">
        <v>0</v>
      </c>
      <c r="AB40" s="45">
        <f t="shared" si="67"/>
        <v>0</v>
      </c>
      <c r="AC40" s="13"/>
    </row>
    <row r="41" spans="2:29" ht="14.7" thickBot="1" x14ac:dyDescent="0.55000000000000004">
      <c r="B41" s="11"/>
      <c r="C41" s="99" t="s">
        <v>46</v>
      </c>
      <c r="D41" s="99"/>
      <c r="E41" s="99"/>
      <c r="F41" s="99"/>
      <c r="G41" s="99"/>
      <c r="H41" s="99"/>
      <c r="I41" s="9" t="s">
        <v>37</v>
      </c>
      <c r="J41" s="99" t="s">
        <v>27</v>
      </c>
      <c r="K41" s="9" t="s">
        <v>37</v>
      </c>
      <c r="L41" s="9" t="s">
        <v>37</v>
      </c>
      <c r="M41" s="9" t="s">
        <v>37</v>
      </c>
      <c r="N41" s="4"/>
      <c r="P41" s="28" t="s">
        <v>19</v>
      </c>
      <c r="Q41" s="31">
        <f t="shared" si="61"/>
        <v>3494.8843630136384</v>
      </c>
      <c r="R41" s="32">
        <f t="shared" si="62"/>
        <v>3494.8843630136384</v>
      </c>
      <c r="S41" s="33">
        <f t="shared" si="63"/>
        <v>3494.8843630136384</v>
      </c>
      <c r="T41" s="36">
        <f t="shared" si="79"/>
        <v>3.5434328106007538</v>
      </c>
      <c r="U41" s="37">
        <f t="shared" si="80"/>
        <v>3.5434328106007538</v>
      </c>
      <c r="V41" s="38">
        <f t="shared" si="81"/>
        <v>3.5434328106007538</v>
      </c>
      <c r="W41" s="61">
        <f t="shared" ref="W41:X41" si="92">$M$21-T41</f>
        <v>5.5873367345072555</v>
      </c>
      <c r="X41" s="37">
        <f t="shared" si="92"/>
        <v>5.5873367345072555</v>
      </c>
      <c r="Y41" s="38">
        <f>$M$21-V41</f>
        <v>5.5873367345072555</v>
      </c>
      <c r="Z41" s="39">
        <f t="shared" si="89"/>
        <v>5.5873367345072564</v>
      </c>
      <c r="AA41" s="62">
        <v>0</v>
      </c>
      <c r="AB41" s="45">
        <f t="shared" si="67"/>
        <v>0</v>
      </c>
      <c r="AC41" s="13"/>
    </row>
    <row r="42" spans="2:29" x14ac:dyDescent="0.5">
      <c r="B42" s="9"/>
      <c r="C42" s="99" t="s">
        <v>7</v>
      </c>
      <c r="D42" s="99"/>
      <c r="E42" s="99"/>
      <c r="F42" s="99" t="s">
        <v>35</v>
      </c>
      <c r="G42" s="99"/>
      <c r="H42" s="99"/>
      <c r="I42" s="9" t="s">
        <v>36</v>
      </c>
      <c r="J42" s="99"/>
      <c r="K42" s="9" t="s">
        <v>7</v>
      </c>
      <c r="L42" s="9" t="s">
        <v>38</v>
      </c>
      <c r="M42" s="12" t="s">
        <v>39</v>
      </c>
      <c r="N42" s="4"/>
    </row>
    <row r="43" spans="2:29" ht="14.7" thickBot="1" x14ac:dyDescent="0.55000000000000004">
      <c r="B43" s="11" t="s">
        <v>8</v>
      </c>
      <c r="C43" s="10">
        <v>500</v>
      </c>
      <c r="D43" s="10">
        <v>500</v>
      </c>
      <c r="E43" s="10">
        <v>500</v>
      </c>
      <c r="F43" s="16">
        <f>LOG10(C43)</f>
        <v>2.6989700043360187</v>
      </c>
      <c r="G43" s="16">
        <f t="shared" ref="G43:H43" si="93">LOG10(D43)</f>
        <v>2.6989700043360187</v>
      </c>
      <c r="H43" s="16">
        <f t="shared" si="93"/>
        <v>2.6989700043360187</v>
      </c>
      <c r="I43" s="9">
        <f t="shared" ref="I43:I45" si="94">AVERAGE(F43:H43)</f>
        <v>2.6989700043360187</v>
      </c>
      <c r="J43" s="9">
        <f t="shared" ref="J43:J45" si="95">STDEV(F43:H43)</f>
        <v>0</v>
      </c>
      <c r="K43" s="10">
        <f>AVERAGE(C43:E43)</f>
        <v>500</v>
      </c>
      <c r="L43" s="10">
        <f>(K43*10)/($O$2)</f>
        <v>3494.8843630136384</v>
      </c>
      <c r="M43" s="45">
        <f>LOG10(L43)</f>
        <v>3.5434328106007538</v>
      </c>
      <c r="N43" s="4"/>
      <c r="P43" s="99" t="s">
        <v>45</v>
      </c>
      <c r="Q43" s="104"/>
      <c r="R43" s="104"/>
      <c r="S43" s="104"/>
      <c r="T43" s="99"/>
      <c r="U43" s="99"/>
      <c r="V43" s="99"/>
      <c r="W43" s="41"/>
      <c r="X43" s="41"/>
      <c r="Y43" s="41"/>
    </row>
    <row r="44" spans="2:29" x14ac:dyDescent="0.5">
      <c r="B44" s="11" t="s">
        <v>9</v>
      </c>
      <c r="C44" s="10">
        <v>500</v>
      </c>
      <c r="D44" s="10">
        <v>500</v>
      </c>
      <c r="E44" s="10">
        <v>500</v>
      </c>
      <c r="F44" s="16">
        <f t="shared" ref="F44:F45" si="96">LOG10(C44)</f>
        <v>2.6989700043360187</v>
      </c>
      <c r="G44" s="16">
        <f t="shared" ref="G44:G45" si="97">LOG10(D44)</f>
        <v>2.6989700043360187</v>
      </c>
      <c r="H44" s="16">
        <f t="shared" ref="H44:H45" si="98">LOG10(E44)</f>
        <v>2.6989700043360187</v>
      </c>
      <c r="I44" s="9">
        <f t="shared" si="94"/>
        <v>2.6989700043360187</v>
      </c>
      <c r="J44" s="9">
        <f t="shared" si="95"/>
        <v>0</v>
      </c>
      <c r="K44" s="10">
        <f t="shared" ref="K44:K45" si="99">AVERAGE(C44:E44)</f>
        <v>500</v>
      </c>
      <c r="L44" s="10">
        <f t="shared" ref="L44:L57" si="100">(K44*10)/($O$2)</f>
        <v>3494.8843630136384</v>
      </c>
      <c r="M44" s="45">
        <f t="shared" ref="M44:M48" si="101">LOG10(L44)</f>
        <v>3.5434328106007538</v>
      </c>
      <c r="N44" s="4"/>
      <c r="P44" s="27"/>
      <c r="Q44" s="119" t="s">
        <v>38</v>
      </c>
      <c r="R44" s="120"/>
      <c r="S44" s="121"/>
      <c r="T44" s="102" t="s">
        <v>58</v>
      </c>
      <c r="U44" s="99"/>
      <c r="V44" s="99"/>
      <c r="W44" s="122"/>
      <c r="X44" s="122"/>
      <c r="Y44" s="122"/>
    </row>
    <row r="45" spans="2:29" x14ac:dyDescent="0.5">
      <c r="B45" s="11" t="s">
        <v>10</v>
      </c>
      <c r="C45" s="10">
        <v>500</v>
      </c>
      <c r="D45" s="10">
        <v>500</v>
      </c>
      <c r="E45" s="10">
        <v>500</v>
      </c>
      <c r="F45" s="16">
        <f t="shared" si="96"/>
        <v>2.6989700043360187</v>
      </c>
      <c r="G45" s="16">
        <f t="shared" si="97"/>
        <v>2.6989700043360187</v>
      </c>
      <c r="H45" s="16">
        <f t="shared" si="98"/>
        <v>2.6989700043360187</v>
      </c>
      <c r="I45" s="9">
        <f t="shared" si="94"/>
        <v>2.6989700043360187</v>
      </c>
      <c r="J45" s="9">
        <f t="shared" si="95"/>
        <v>0</v>
      </c>
      <c r="K45" s="10">
        <f t="shared" si="99"/>
        <v>500</v>
      </c>
      <c r="L45" s="10">
        <f t="shared" si="100"/>
        <v>3494.8843630136384</v>
      </c>
      <c r="M45" s="45">
        <f t="shared" si="101"/>
        <v>3.5434328106007538</v>
      </c>
      <c r="N45" s="4"/>
      <c r="P45" s="28" t="s">
        <v>8</v>
      </c>
      <c r="Q45" s="29">
        <f>(C7*10)/$O$2</f>
        <v>34948843630.136383</v>
      </c>
      <c r="R45" s="10">
        <f>(D7*10)/$O$2</f>
        <v>698976872.60272765</v>
      </c>
      <c r="S45" s="30">
        <f t="shared" ref="S45" si="102">(E7*10)/$O$2</f>
        <v>3494884363.0136385</v>
      </c>
      <c r="T45" s="60">
        <f>LOG10(Q45)</f>
        <v>10.543432810600754</v>
      </c>
      <c r="U45" s="16">
        <f>LOG10(R45)</f>
        <v>8.844462806264735</v>
      </c>
      <c r="V45" s="16">
        <f t="shared" ref="V45:V47" si="103">LOG10(S45)</f>
        <v>9.5434328106007538</v>
      </c>
      <c r="W45" s="84"/>
      <c r="X45" s="84"/>
      <c r="Y45" s="84"/>
    </row>
    <row r="46" spans="2:29" x14ac:dyDescent="0.5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0"/>
      <c r="M46" s="45"/>
      <c r="N46" s="4"/>
      <c r="P46" s="28" t="s">
        <v>9</v>
      </c>
      <c r="Q46" s="29">
        <f t="shared" ref="Q46:R46" si="104">(C8*10)/$O$2</f>
        <v>698976872.60272765</v>
      </c>
      <c r="R46" s="10">
        <f t="shared" si="104"/>
        <v>489283810.82190937</v>
      </c>
      <c r="S46" s="30">
        <f t="shared" ref="S46:S59" si="105">(E8*10)/$O$2</f>
        <v>2795907490.4109106</v>
      </c>
      <c r="T46" s="60">
        <f t="shared" ref="T46:T47" si="106">LOG10(Q46)</f>
        <v>8.844462806264735</v>
      </c>
      <c r="U46" s="16">
        <f t="shared" ref="U46:U47" si="107">LOG10(R46)</f>
        <v>8.6895608462789919</v>
      </c>
      <c r="V46" s="16">
        <f t="shared" si="103"/>
        <v>9.4465227975926975</v>
      </c>
      <c r="W46" s="84"/>
      <c r="X46" s="84"/>
      <c r="Y46" s="84"/>
    </row>
    <row r="47" spans="2:29" x14ac:dyDescent="0.5">
      <c r="B47" s="11" t="s">
        <v>11</v>
      </c>
      <c r="C47" s="10">
        <v>500</v>
      </c>
      <c r="D47" s="10">
        <v>500</v>
      </c>
      <c r="E47" s="10">
        <v>500</v>
      </c>
      <c r="F47" s="16">
        <f>LOG10(C47)</f>
        <v>2.6989700043360187</v>
      </c>
      <c r="G47" s="16">
        <f>LOG10(D47)</f>
        <v>2.6989700043360187</v>
      </c>
      <c r="H47" s="16">
        <f t="shared" ref="H47:H48" si="108">LOG10(E47)</f>
        <v>2.6989700043360187</v>
      </c>
      <c r="I47" s="9">
        <f t="shared" ref="I47:I48" si="109">AVERAGE(F47:H47)</f>
        <v>2.6989700043360187</v>
      </c>
      <c r="J47" s="9">
        <f t="shared" ref="J47:J48" si="110">STDEV(F47:H47)</f>
        <v>0</v>
      </c>
      <c r="K47" s="10">
        <f>AVERAGE(C47:E47)</f>
        <v>500</v>
      </c>
      <c r="L47" s="10">
        <f t="shared" si="100"/>
        <v>3494.8843630136384</v>
      </c>
      <c r="M47" s="45">
        <f t="shared" si="101"/>
        <v>3.5434328106007538</v>
      </c>
      <c r="N47" s="4"/>
      <c r="P47" s="28" t="s">
        <v>10</v>
      </c>
      <c r="Q47" s="29">
        <f>(C9*10)/$O$2</f>
        <v>6989768726.027277</v>
      </c>
      <c r="R47" s="10">
        <f t="shared" ref="R47" si="111">(D9*10)/$O$2</f>
        <v>3494884363.0136385</v>
      </c>
      <c r="S47" s="30">
        <f t="shared" si="105"/>
        <v>3494884363.0136385</v>
      </c>
      <c r="T47" s="60">
        <f t="shared" si="106"/>
        <v>9.844462806264735</v>
      </c>
      <c r="U47" s="16">
        <f t="shared" si="107"/>
        <v>9.5434328106007538</v>
      </c>
      <c r="V47" s="16">
        <f t="shared" si="103"/>
        <v>9.5434328106007538</v>
      </c>
      <c r="W47" s="84"/>
      <c r="X47" s="84"/>
      <c r="Y47" s="84"/>
    </row>
    <row r="48" spans="2:29" x14ac:dyDescent="0.5">
      <c r="B48" s="11" t="s">
        <v>12</v>
      </c>
      <c r="C48" s="10">
        <v>500</v>
      </c>
      <c r="D48" s="10">
        <v>500</v>
      </c>
      <c r="E48" s="10">
        <v>500</v>
      </c>
      <c r="F48" s="16">
        <f t="shared" ref="F48" si="112">LOG10(C48)</f>
        <v>2.6989700043360187</v>
      </c>
      <c r="G48" s="16">
        <f t="shared" ref="G48" si="113">LOG10(D48)</f>
        <v>2.6989700043360187</v>
      </c>
      <c r="H48" s="16">
        <f t="shared" si="108"/>
        <v>2.6989700043360187</v>
      </c>
      <c r="I48" s="9">
        <f t="shared" si="109"/>
        <v>2.6989700043360187</v>
      </c>
      <c r="J48" s="9">
        <f t="shared" si="110"/>
        <v>0</v>
      </c>
      <c r="K48" s="10">
        <f t="shared" ref="K48" si="114">AVERAGE(C48:E48)</f>
        <v>500</v>
      </c>
      <c r="L48" s="10">
        <f t="shared" si="100"/>
        <v>3494.8843630136384</v>
      </c>
      <c r="M48" s="45">
        <f t="shared" si="101"/>
        <v>3.5434328106007538</v>
      </c>
      <c r="N48" s="4"/>
      <c r="P48" s="28"/>
      <c r="Q48" s="29"/>
      <c r="R48" s="10"/>
      <c r="S48" s="30"/>
      <c r="T48" s="60"/>
      <c r="U48" s="16"/>
      <c r="V48" s="16"/>
      <c r="W48" s="84"/>
      <c r="X48" s="84"/>
      <c r="Y48" s="84"/>
    </row>
    <row r="49" spans="2:25" x14ac:dyDescent="0.5">
      <c r="B49" s="11" t="s">
        <v>13</v>
      </c>
      <c r="C49" s="10">
        <v>100000000</v>
      </c>
      <c r="D49" s="10">
        <v>30000000</v>
      </c>
      <c r="E49" s="10">
        <v>500</v>
      </c>
      <c r="F49" s="16">
        <f>LOG10(C49)</f>
        <v>8</v>
      </c>
      <c r="G49" s="16">
        <f>LOG10(D49)</f>
        <v>7.4771212547196626</v>
      </c>
      <c r="H49" s="16">
        <f>LOG10(E49)</f>
        <v>2.6989700043360187</v>
      </c>
      <c r="I49" s="9">
        <f>AVERAGE(F49:H49)</f>
        <v>6.0586970863518941</v>
      </c>
      <c r="J49" s="9">
        <f>STDEV(F49:H49)</f>
        <v>2.9213310484759627</v>
      </c>
      <c r="K49" s="10">
        <f>AVERAGE(C49:E49)</f>
        <v>43333500</v>
      </c>
      <c r="L49" s="10">
        <f t="shared" si="100"/>
        <v>302891143.08930302</v>
      </c>
      <c r="M49" s="45">
        <f>(LOG10(L49))</f>
        <v>8.4812865742120884</v>
      </c>
      <c r="N49" s="4"/>
      <c r="P49" s="28" t="s">
        <v>11</v>
      </c>
      <c r="Q49" s="29">
        <f t="shared" ref="Q49:R49" si="115">(C11*10)/$O$2</f>
        <v>1397953745.2054553</v>
      </c>
      <c r="R49" s="10">
        <f t="shared" si="115"/>
        <v>698976872.60272765</v>
      </c>
      <c r="S49" s="30">
        <f t="shared" si="105"/>
        <v>2096930617.808183</v>
      </c>
      <c r="T49" s="60">
        <f t="shared" ref="T49:T50" si="116">LOG10(Q49)</f>
        <v>9.1454928019287163</v>
      </c>
      <c r="U49" s="16">
        <f t="shared" ref="U49:U50" si="117">LOG10(R49)</f>
        <v>8.844462806264735</v>
      </c>
      <c r="V49" s="16">
        <f t="shared" ref="V49:V50" si="118">LOG10(S49)</f>
        <v>9.3215840609843976</v>
      </c>
      <c r="W49" s="84"/>
      <c r="X49" s="84"/>
      <c r="Y49" s="84"/>
    </row>
    <row r="50" spans="2:25" x14ac:dyDescent="0.5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0"/>
      <c r="M50" s="45"/>
      <c r="N50" s="4"/>
      <c r="P50" s="28" t="s">
        <v>12</v>
      </c>
      <c r="Q50" s="29">
        <f t="shared" ref="Q50:R50" si="119">(C12*10)/$O$2</f>
        <v>13979537452.054554</v>
      </c>
      <c r="R50" s="10">
        <f t="shared" si="119"/>
        <v>5591814980.8218212</v>
      </c>
      <c r="S50" s="30">
        <f t="shared" si="105"/>
        <v>4193861235.6163659</v>
      </c>
      <c r="T50" s="60">
        <f t="shared" si="116"/>
        <v>10.145492801928716</v>
      </c>
      <c r="U50" s="16">
        <f t="shared" si="117"/>
        <v>9.7475527932566788</v>
      </c>
      <c r="V50" s="16">
        <f t="shared" si="118"/>
        <v>9.6226140566483789</v>
      </c>
      <c r="W50" s="84"/>
      <c r="X50" s="84"/>
      <c r="Y50" s="84"/>
    </row>
    <row r="51" spans="2:25" x14ac:dyDescent="0.5">
      <c r="B51" s="11" t="s">
        <v>14</v>
      </c>
      <c r="C51" s="10">
        <v>500</v>
      </c>
      <c r="D51" s="10">
        <v>500</v>
      </c>
      <c r="E51" s="10">
        <v>500</v>
      </c>
      <c r="F51" s="16">
        <f t="shared" ref="F51:G53" si="120">LOG10(C51)</f>
        <v>2.6989700043360187</v>
      </c>
      <c r="G51" s="16">
        <f t="shared" si="120"/>
        <v>2.6989700043360187</v>
      </c>
      <c r="H51" s="16">
        <f t="shared" ref="H51:H52" si="121">LOG10(E51)</f>
        <v>2.6989700043360187</v>
      </c>
      <c r="I51" s="9">
        <f t="shared" ref="I51:I52" si="122">AVERAGE(F51:H51)</f>
        <v>2.6989700043360187</v>
      </c>
      <c r="J51" s="9">
        <f t="shared" ref="J51:J52" si="123">STDEV(F51:H51)</f>
        <v>0</v>
      </c>
      <c r="K51" s="10">
        <f>AVERAGE(C51:E51)</f>
        <v>500</v>
      </c>
      <c r="L51" s="10">
        <f>(K51*10)/($O$2)</f>
        <v>3494.8843630136384</v>
      </c>
      <c r="M51" s="45">
        <f t="shared" ref="M51:M57" si="124">(LOG10(L51))</f>
        <v>3.5434328106007538</v>
      </c>
      <c r="N51" s="4"/>
      <c r="P51" s="28" t="s">
        <v>13</v>
      </c>
      <c r="Q51" s="29">
        <f t="shared" ref="Q51:R51" si="125">(C13*10)/$O$2</f>
        <v>698976872.60272765</v>
      </c>
      <c r="R51" s="10">
        <f t="shared" si="125"/>
        <v>3494884363.0136385</v>
      </c>
      <c r="S51" s="30">
        <f t="shared" si="105"/>
        <v>3494884363.0136385</v>
      </c>
      <c r="T51" s="60">
        <f>LOG10(Q51)</f>
        <v>8.844462806264735</v>
      </c>
      <c r="U51" s="16">
        <f>LOG10(R51)</f>
        <v>9.5434328106007538</v>
      </c>
      <c r="V51" s="16">
        <f>LOG10(S51)</f>
        <v>9.5434328106007538</v>
      </c>
      <c r="W51" s="84"/>
      <c r="X51" s="84"/>
      <c r="Y51" s="84"/>
    </row>
    <row r="52" spans="2:25" x14ac:dyDescent="0.5">
      <c r="B52" s="11" t="s">
        <v>15</v>
      </c>
      <c r="C52" s="10">
        <v>700</v>
      </c>
      <c r="D52" s="10">
        <v>16000</v>
      </c>
      <c r="E52" s="10">
        <v>500</v>
      </c>
      <c r="F52" s="16">
        <f t="shared" si="120"/>
        <v>2.8450980400142569</v>
      </c>
      <c r="G52" s="16">
        <f t="shared" si="120"/>
        <v>4.204119982655925</v>
      </c>
      <c r="H52" s="16">
        <f t="shared" si="121"/>
        <v>2.6989700043360187</v>
      </c>
      <c r="I52" s="9">
        <f t="shared" si="122"/>
        <v>3.249396009002067</v>
      </c>
      <c r="J52" s="9">
        <f t="shared" si="123"/>
        <v>0.8300371980247967</v>
      </c>
      <c r="K52" s="10">
        <f t="shared" ref="K52:K53" si="126">AVERAGE(C52:E52)</f>
        <v>5733.333333333333</v>
      </c>
      <c r="L52" s="10">
        <f t="shared" si="100"/>
        <v>40074.674029223053</v>
      </c>
      <c r="M52" s="45">
        <f t="shared" si="124"/>
        <v>4.602869998452622</v>
      </c>
      <c r="N52" s="4"/>
      <c r="P52" s="28"/>
      <c r="Q52" s="29"/>
      <c r="R52" s="10"/>
      <c r="S52" s="30"/>
      <c r="T52" s="60"/>
      <c r="U52" s="16"/>
      <c r="V52" s="16"/>
      <c r="W52" s="84"/>
      <c r="X52" s="84"/>
      <c r="Y52" s="84"/>
    </row>
    <row r="53" spans="2:25" x14ac:dyDescent="0.5">
      <c r="B53" s="11" t="s">
        <v>16</v>
      </c>
      <c r="C53" s="10">
        <v>800</v>
      </c>
      <c r="D53" s="10">
        <v>35000</v>
      </c>
      <c r="E53" s="10">
        <v>500</v>
      </c>
      <c r="F53" s="16">
        <f t="shared" si="120"/>
        <v>2.9030899869919438</v>
      </c>
      <c r="G53" s="16">
        <f t="shared" si="120"/>
        <v>4.5440680443502757</v>
      </c>
      <c r="H53" s="16">
        <f>LOG10(E53)</f>
        <v>2.6989700043360187</v>
      </c>
      <c r="I53" s="9">
        <f>AVERAGE(F53:H53)</f>
        <v>3.3820426785594129</v>
      </c>
      <c r="J53" s="9">
        <f>STDEV(F53:H53)</f>
        <v>1.0115055387321932</v>
      </c>
      <c r="K53" s="10">
        <f t="shared" si="126"/>
        <v>12100</v>
      </c>
      <c r="L53" s="10">
        <f t="shared" si="100"/>
        <v>84576.201584930051</v>
      </c>
      <c r="M53" s="45">
        <f t="shared" si="124"/>
        <v>4.9272481765811849</v>
      </c>
      <c r="N53" s="4"/>
      <c r="P53" s="28" t="s">
        <v>14</v>
      </c>
      <c r="Q53" s="29">
        <f t="shared" ref="Q53:R53" si="127">(C15*10)/$O$2</f>
        <v>1397953745.2054553</v>
      </c>
      <c r="R53" s="10">
        <f t="shared" si="127"/>
        <v>698976872.60272765</v>
      </c>
      <c r="S53" s="30">
        <f t="shared" si="105"/>
        <v>2096930617.808183</v>
      </c>
      <c r="T53" s="60">
        <f t="shared" ref="T53:T55" si="128">LOG10(Q53)</f>
        <v>9.1454928019287163</v>
      </c>
      <c r="U53" s="16">
        <f t="shared" ref="U53:U55" si="129">LOG10(R53)</f>
        <v>8.844462806264735</v>
      </c>
      <c r="V53" s="16">
        <f t="shared" ref="V53:V55" si="130">LOG10(S53)</f>
        <v>9.3215840609843976</v>
      </c>
      <c r="W53" s="84"/>
      <c r="X53" s="84"/>
      <c r="Y53" s="84"/>
    </row>
    <row r="54" spans="2:25" x14ac:dyDescent="0.5"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0"/>
      <c r="M54" s="45"/>
      <c r="N54" s="4"/>
      <c r="P54" s="28" t="s">
        <v>15</v>
      </c>
      <c r="Q54" s="29">
        <f t="shared" ref="Q54:R54" si="131">(C16*10)/$O$2</f>
        <v>6989768726.027277</v>
      </c>
      <c r="R54" s="10">
        <f t="shared" si="131"/>
        <v>6290791853.4245491</v>
      </c>
      <c r="S54" s="30">
        <f t="shared" si="105"/>
        <v>4892838108.2190933</v>
      </c>
      <c r="T54" s="60">
        <f t="shared" si="128"/>
        <v>9.844462806264735</v>
      </c>
      <c r="U54" s="16">
        <f t="shared" si="129"/>
        <v>9.7987053157040602</v>
      </c>
      <c r="V54" s="16">
        <f t="shared" si="130"/>
        <v>9.6895608462789919</v>
      </c>
      <c r="W54" s="84"/>
      <c r="X54" s="84"/>
      <c r="Y54" s="84"/>
    </row>
    <row r="55" spans="2:25" x14ac:dyDescent="0.5">
      <c r="B55" s="11" t="s">
        <v>17</v>
      </c>
      <c r="C55" s="10">
        <v>500</v>
      </c>
      <c r="D55" s="10">
        <v>500</v>
      </c>
      <c r="E55" s="10">
        <v>500</v>
      </c>
      <c r="F55" s="16">
        <f>LOG10(C55)</f>
        <v>2.6989700043360187</v>
      </c>
      <c r="G55" s="16">
        <f t="shared" ref="G55:G57" si="132">LOG10(D55)</f>
        <v>2.6989700043360187</v>
      </c>
      <c r="H55" s="16">
        <f t="shared" ref="H55:H57" si="133">LOG10(E55)</f>
        <v>2.6989700043360187</v>
      </c>
      <c r="I55" s="9">
        <f t="shared" ref="I55:I57" si="134">AVERAGE(F55:H55)</f>
        <v>2.6989700043360187</v>
      </c>
      <c r="J55" s="9">
        <f>STDEV(F55:H55)</f>
        <v>0</v>
      </c>
      <c r="K55" s="10">
        <f>AVERAGE(C55:E55)</f>
        <v>500</v>
      </c>
      <c r="L55" s="10">
        <f t="shared" si="100"/>
        <v>3494.8843630136384</v>
      </c>
      <c r="M55" s="45">
        <f t="shared" si="124"/>
        <v>3.5434328106007538</v>
      </c>
      <c r="N55" s="4"/>
      <c r="P55" s="28" t="s">
        <v>16</v>
      </c>
      <c r="Q55" s="29">
        <f t="shared" ref="Q55:R55" si="135">(C17*10)/$O$2</f>
        <v>698976872.60272765</v>
      </c>
      <c r="R55" s="10">
        <f t="shared" si="135"/>
        <v>489283810.82190937</v>
      </c>
      <c r="S55" s="30">
        <f t="shared" si="105"/>
        <v>698976872.60272765</v>
      </c>
      <c r="T55" s="60">
        <f t="shared" si="128"/>
        <v>8.844462806264735</v>
      </c>
      <c r="U55" s="16">
        <f t="shared" si="129"/>
        <v>8.6895608462789919</v>
      </c>
      <c r="V55" s="16">
        <f t="shared" si="130"/>
        <v>8.844462806264735</v>
      </c>
      <c r="W55" s="84"/>
      <c r="X55" s="84"/>
      <c r="Y55" s="84"/>
    </row>
    <row r="56" spans="2:25" x14ac:dyDescent="0.5">
      <c r="B56" s="11" t="s">
        <v>18</v>
      </c>
      <c r="C56" s="10">
        <v>500</v>
      </c>
      <c r="D56" s="10">
        <v>500</v>
      </c>
      <c r="E56" s="10">
        <v>500</v>
      </c>
      <c r="F56" s="16">
        <f t="shared" ref="F56:F57" si="136">LOG10(C56)</f>
        <v>2.6989700043360187</v>
      </c>
      <c r="G56" s="16">
        <f t="shared" si="132"/>
        <v>2.6989700043360187</v>
      </c>
      <c r="H56" s="16">
        <f t="shared" si="133"/>
        <v>2.6989700043360187</v>
      </c>
      <c r="I56" s="9">
        <f t="shared" si="134"/>
        <v>2.6989700043360187</v>
      </c>
      <c r="J56" s="9">
        <f t="shared" ref="J56:J57" si="137">STDEV(F56:H56)</f>
        <v>0</v>
      </c>
      <c r="K56" s="10">
        <f t="shared" ref="K56:K57" si="138">AVERAGE(C56:E56)</f>
        <v>500</v>
      </c>
      <c r="L56" s="10">
        <f t="shared" si="100"/>
        <v>3494.8843630136384</v>
      </c>
      <c r="M56" s="45">
        <f t="shared" si="124"/>
        <v>3.5434328106007538</v>
      </c>
      <c r="N56" s="4"/>
      <c r="P56" s="28"/>
      <c r="Q56" s="29"/>
      <c r="R56" s="10"/>
      <c r="S56" s="30"/>
      <c r="T56" s="60"/>
      <c r="U56" s="16"/>
      <c r="V56" s="16"/>
      <c r="W56" s="84"/>
      <c r="X56" s="84"/>
      <c r="Y56" s="84"/>
    </row>
    <row r="57" spans="2:25" x14ac:dyDescent="0.5">
      <c r="B57" s="11" t="s">
        <v>19</v>
      </c>
      <c r="C57" s="10">
        <v>500</v>
      </c>
      <c r="D57" s="10">
        <v>500</v>
      </c>
      <c r="E57" s="10">
        <v>500</v>
      </c>
      <c r="F57" s="16">
        <f t="shared" si="136"/>
        <v>2.6989700043360187</v>
      </c>
      <c r="G57" s="16">
        <f t="shared" si="132"/>
        <v>2.6989700043360187</v>
      </c>
      <c r="H57" s="16">
        <f t="shared" si="133"/>
        <v>2.6989700043360187</v>
      </c>
      <c r="I57" s="9">
        <f t="shared" si="134"/>
        <v>2.6989700043360187</v>
      </c>
      <c r="J57" s="9">
        <f t="shared" si="137"/>
        <v>0</v>
      </c>
      <c r="K57" s="10">
        <f t="shared" si="138"/>
        <v>500</v>
      </c>
      <c r="L57" s="10">
        <f t="shared" si="100"/>
        <v>3494.8843630136384</v>
      </c>
      <c r="M57" s="45">
        <f t="shared" si="124"/>
        <v>3.5434328106007538</v>
      </c>
      <c r="N57" s="4"/>
      <c r="P57" s="28" t="s">
        <v>17</v>
      </c>
      <c r="Q57" s="29">
        <f t="shared" ref="Q57:R57" si="139">(C19*10)/$O$2</f>
        <v>2446419054.1095467</v>
      </c>
      <c r="R57" s="10">
        <f t="shared" si="139"/>
        <v>2795907490.4109106</v>
      </c>
      <c r="S57" s="30">
        <f t="shared" si="105"/>
        <v>4193861235.6163659</v>
      </c>
      <c r="T57" s="60">
        <f t="shared" ref="T57:T59" si="140">LOG10(Q57)</f>
        <v>9.3885308506150107</v>
      </c>
      <c r="U57" s="16">
        <f t="shared" ref="U57:U59" si="141">LOG10(R57)</f>
        <v>9.4465227975926975</v>
      </c>
      <c r="V57" s="16">
        <f t="shared" ref="V57:V59" si="142">LOG10(S57)</f>
        <v>9.6226140566483789</v>
      </c>
      <c r="W57" s="84"/>
      <c r="X57" s="84"/>
      <c r="Y57" s="84"/>
    </row>
    <row r="58" spans="2:25" x14ac:dyDescent="0.5"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4"/>
      <c r="O58" s="4"/>
      <c r="P58" s="28" t="s">
        <v>18</v>
      </c>
      <c r="Q58" s="29">
        <f t="shared" ref="Q58:R58" si="143">(C20*10)/$O$2</f>
        <v>5591814980.8218212</v>
      </c>
      <c r="R58" s="10">
        <f t="shared" si="143"/>
        <v>698976872.60272765</v>
      </c>
      <c r="S58" s="30">
        <f t="shared" si="105"/>
        <v>4193861235.6163659</v>
      </c>
      <c r="T58" s="60">
        <f t="shared" si="140"/>
        <v>9.7475527932566788</v>
      </c>
      <c r="U58" s="16">
        <f t="shared" si="141"/>
        <v>8.844462806264735</v>
      </c>
      <c r="V58" s="16">
        <f t="shared" si="142"/>
        <v>9.6226140566483789</v>
      </c>
      <c r="W58" s="85"/>
      <c r="X58" s="84"/>
      <c r="Y58" s="84"/>
    </row>
    <row r="59" spans="2:25" ht="14.7" thickBot="1" x14ac:dyDescent="0.55000000000000004">
      <c r="B59" s="68"/>
      <c r="C59" s="69" t="s">
        <v>65</v>
      </c>
      <c r="D59" s="69" t="s">
        <v>7</v>
      </c>
      <c r="E59" s="69" t="s">
        <v>66</v>
      </c>
      <c r="F59" s="69" t="s">
        <v>38</v>
      </c>
      <c r="G59" s="69" t="s">
        <v>39</v>
      </c>
      <c r="H59" s="4"/>
      <c r="I59" s="4"/>
      <c r="J59" s="4"/>
      <c r="K59" s="4"/>
      <c r="L59" s="4"/>
      <c r="M59" s="4"/>
      <c r="N59" s="4"/>
      <c r="O59" s="40"/>
      <c r="P59" s="28" t="s">
        <v>19</v>
      </c>
      <c r="Q59" s="31">
        <f t="shared" ref="Q59:R59" si="144">(C21*10)/$O$2</f>
        <v>698976872.60272765</v>
      </c>
      <c r="R59" s="32">
        <f t="shared" si="144"/>
        <v>2795907490.4109106</v>
      </c>
      <c r="S59" s="33">
        <f t="shared" si="105"/>
        <v>559181498.08218217</v>
      </c>
      <c r="T59" s="60">
        <f t="shared" si="140"/>
        <v>8.844462806264735</v>
      </c>
      <c r="U59" s="16">
        <f t="shared" si="141"/>
        <v>9.4465227975926975</v>
      </c>
      <c r="V59" s="16">
        <f t="shared" si="142"/>
        <v>8.7475527932566788</v>
      </c>
      <c r="W59" s="84"/>
      <c r="X59" s="84"/>
      <c r="Y59" s="84"/>
    </row>
    <row r="60" spans="2:25" ht="14.7" thickBot="1" x14ac:dyDescent="0.55000000000000004">
      <c r="B60" s="64" t="s">
        <v>64</v>
      </c>
      <c r="C60" s="68">
        <v>0.5</v>
      </c>
      <c r="D60" s="68">
        <v>500</v>
      </c>
      <c r="E60" s="68">
        <f>D60*10</f>
        <v>5000</v>
      </c>
      <c r="F60" s="70">
        <f>E60/O2</f>
        <v>3494.8843630136384</v>
      </c>
      <c r="G60" s="71">
        <f>LOG10(F60)</f>
        <v>3.5434328106007538</v>
      </c>
      <c r="H60" s="4"/>
      <c r="I60" s="4"/>
      <c r="J60" s="4"/>
      <c r="K60" s="4"/>
      <c r="L60" s="4"/>
      <c r="M60" s="4"/>
      <c r="N60" s="4"/>
    </row>
    <row r="61" spans="2:25" x14ac:dyDescent="0.5">
      <c r="H61" s="4"/>
      <c r="I61" s="4"/>
      <c r="J61" s="4"/>
      <c r="K61" s="4"/>
      <c r="L61" s="4"/>
      <c r="M61" s="4"/>
      <c r="N61" s="4"/>
      <c r="O61" s="113"/>
      <c r="P61" s="114"/>
      <c r="Q61" s="114"/>
      <c r="R61" s="114"/>
      <c r="S61" s="114"/>
      <c r="T61" s="114"/>
      <c r="U61" s="114"/>
      <c r="V61" s="114"/>
      <c r="W61" s="114"/>
      <c r="X61" s="114"/>
      <c r="Y61" s="115"/>
    </row>
    <row r="62" spans="2:25" x14ac:dyDescent="0.5">
      <c r="H62" s="4"/>
      <c r="I62" s="4"/>
      <c r="J62" s="4"/>
      <c r="K62" s="4"/>
      <c r="L62" s="4"/>
      <c r="M62" s="4"/>
      <c r="O62" s="17"/>
      <c r="P62" s="72" t="s">
        <v>51</v>
      </c>
      <c r="Q62" s="79"/>
      <c r="R62" s="79"/>
      <c r="S62" s="73"/>
      <c r="T62" s="4"/>
      <c r="U62" s="11"/>
      <c r="V62" s="11"/>
      <c r="W62" s="72" t="s">
        <v>50</v>
      </c>
      <c r="X62" s="79"/>
      <c r="Y62" s="80"/>
    </row>
    <row r="63" spans="2:25" ht="43" x14ac:dyDescent="0.5">
      <c r="H63" s="4"/>
      <c r="I63" s="4"/>
      <c r="J63" s="4"/>
      <c r="K63" s="4"/>
      <c r="L63" s="4"/>
      <c r="M63" s="4"/>
      <c r="O63" s="18"/>
      <c r="P63" s="22" t="s">
        <v>56</v>
      </c>
      <c r="Q63" s="22" t="s">
        <v>52</v>
      </c>
      <c r="R63" s="22" t="s">
        <v>53</v>
      </c>
      <c r="S63" s="22" t="s">
        <v>54</v>
      </c>
      <c r="T63" s="4"/>
      <c r="U63" s="74"/>
      <c r="V63" s="11"/>
      <c r="W63" s="74" t="s">
        <v>47</v>
      </c>
      <c r="X63" s="74" t="s">
        <v>48</v>
      </c>
      <c r="Y63" s="75" t="s">
        <v>49</v>
      </c>
    </row>
    <row r="64" spans="2:25" x14ac:dyDescent="0.5">
      <c r="H64" s="4"/>
      <c r="I64" s="4"/>
      <c r="J64" s="4"/>
      <c r="K64" s="4"/>
      <c r="L64" s="4"/>
      <c r="M64" s="4"/>
      <c r="O64" s="18" t="s">
        <v>23</v>
      </c>
      <c r="P64" s="11">
        <v>1</v>
      </c>
      <c r="Q64" s="14">
        <v>10.115529578551273</v>
      </c>
      <c r="R64" s="14">
        <v>6.0671792774123183</v>
      </c>
      <c r="S64" s="14">
        <v>3.5434328106007538</v>
      </c>
      <c r="T64" s="4"/>
      <c r="U64" s="74" t="s">
        <v>23</v>
      </c>
      <c r="V64" s="11">
        <v>1</v>
      </c>
      <c r="W64" s="11">
        <v>0.8539182379473873</v>
      </c>
      <c r="X64" s="14">
        <v>1.7320508075688772</v>
      </c>
      <c r="Y64" s="58">
        <v>0</v>
      </c>
    </row>
    <row r="65" spans="15:25" x14ac:dyDescent="0.5">
      <c r="O65" s="18"/>
      <c r="P65" s="11">
        <v>3</v>
      </c>
      <c r="Q65" s="14">
        <v>9.1232164072175639</v>
      </c>
      <c r="R65" s="14">
        <v>8.321588886451833</v>
      </c>
      <c r="S65" s="14">
        <v>3.5434328106007538</v>
      </c>
      <c r="T65" s="4"/>
      <c r="U65" s="74"/>
      <c r="V65" s="11">
        <v>3</v>
      </c>
      <c r="W65" s="11">
        <v>0.39988795224452223</v>
      </c>
      <c r="X65" s="14">
        <v>3.0341329954862322</v>
      </c>
      <c r="Y65" s="58">
        <v>0</v>
      </c>
    </row>
    <row r="66" spans="15:25" x14ac:dyDescent="0.5">
      <c r="O66" s="18"/>
      <c r="P66" s="11">
        <v>5</v>
      </c>
      <c r="Q66" s="14">
        <v>9.6683715472090537</v>
      </c>
      <c r="R66" s="14">
        <v>9.5926508332709357</v>
      </c>
      <c r="S66" s="14">
        <v>3.5434328106007538</v>
      </c>
      <c r="T66" s="4"/>
      <c r="U66" s="74"/>
      <c r="V66" s="11">
        <v>5</v>
      </c>
      <c r="W66" s="11">
        <v>0.17379974903075143</v>
      </c>
      <c r="X66" s="14">
        <v>0.70865064723085913</v>
      </c>
      <c r="Y66" s="58">
        <v>0</v>
      </c>
    </row>
    <row r="67" spans="15:25" x14ac:dyDescent="0.5">
      <c r="O67" s="18" t="s">
        <v>24</v>
      </c>
      <c r="P67" s="11">
        <v>1</v>
      </c>
      <c r="Q67" s="11">
        <v>9.1454928019287163</v>
      </c>
      <c r="R67" s="14">
        <v>5.7839820588833533</v>
      </c>
      <c r="S67" s="14">
        <v>3.5434328106007538</v>
      </c>
      <c r="T67" s="4"/>
      <c r="U67" s="74" t="s">
        <v>24</v>
      </c>
      <c r="V67" s="11">
        <v>1</v>
      </c>
      <c r="W67" s="11">
        <v>0.21286035127455813</v>
      </c>
      <c r="X67" s="14">
        <v>1.5680852615674752</v>
      </c>
      <c r="Y67" s="58">
        <v>0</v>
      </c>
    </row>
    <row r="68" spans="15:25" x14ac:dyDescent="0.5">
      <c r="O68" s="18"/>
      <c r="P68" s="11">
        <v>3</v>
      </c>
      <c r="Q68" s="11">
        <v>9.8988204685873278</v>
      </c>
      <c r="R68" s="14">
        <v>8.0833448951798719</v>
      </c>
      <c r="S68" s="14">
        <v>3.5434328106007538</v>
      </c>
      <c r="T68" s="4"/>
      <c r="U68" s="74"/>
      <c r="V68" s="11">
        <v>3</v>
      </c>
      <c r="W68" s="11">
        <v>0.273059248965348</v>
      </c>
      <c r="X68" s="14">
        <v>0.81296194752301087</v>
      </c>
      <c r="Y68" s="58">
        <v>0</v>
      </c>
    </row>
    <row r="69" spans="15:25" x14ac:dyDescent="0.5">
      <c r="O69" s="18"/>
      <c r="P69" s="11">
        <v>5</v>
      </c>
      <c r="Q69" s="11">
        <v>9.4087342367032978</v>
      </c>
      <c r="R69" s="14">
        <v>9.3215840609843976</v>
      </c>
      <c r="S69" s="14">
        <v>8.4812865742120884</v>
      </c>
      <c r="T69" s="4"/>
      <c r="U69" s="74"/>
      <c r="V69" s="11">
        <v>5</v>
      </c>
      <c r="W69" s="11">
        <v>0.40355052015887433</v>
      </c>
      <c r="X69" s="14">
        <v>0.39238227926100122</v>
      </c>
      <c r="Y69" s="58">
        <v>2.9213310484759627</v>
      </c>
    </row>
    <row r="70" spans="15:25" x14ac:dyDescent="0.5">
      <c r="O70" s="18" t="s">
        <v>5</v>
      </c>
      <c r="P70" s="11">
        <v>1</v>
      </c>
      <c r="Q70" s="11">
        <v>9.1454928019287163</v>
      </c>
      <c r="R70" s="14">
        <v>5.4812849038519094</v>
      </c>
      <c r="S70" s="14">
        <v>3.5434328106007538</v>
      </c>
      <c r="T70" s="4"/>
      <c r="U70" s="74" t="s">
        <v>5</v>
      </c>
      <c r="V70" s="11">
        <v>1</v>
      </c>
      <c r="W70" s="11">
        <v>0.24127159022926037</v>
      </c>
      <c r="X70" s="14">
        <v>0.83914286524436088</v>
      </c>
      <c r="Y70" s="58">
        <v>0</v>
      </c>
    </row>
    <row r="71" spans="15:25" x14ac:dyDescent="0.5">
      <c r="O71" s="18"/>
      <c r="P71" s="11">
        <v>3</v>
      </c>
      <c r="Q71" s="11">
        <v>9.7823148995158906</v>
      </c>
      <c r="R71" s="14">
        <v>8.7384094138168091</v>
      </c>
      <c r="S71" s="14">
        <v>4.602869998452622</v>
      </c>
      <c r="T71" s="4"/>
      <c r="U71" s="74"/>
      <c r="V71" s="11">
        <v>3</v>
      </c>
      <c r="W71" s="11">
        <v>7.9583164421371866E-2</v>
      </c>
      <c r="X71" s="14">
        <v>0.66665918638192101</v>
      </c>
      <c r="Y71" s="58">
        <v>0.8300371980247967</v>
      </c>
    </row>
    <row r="72" spans="15:25" x14ac:dyDescent="0.5">
      <c r="O72" s="18"/>
      <c r="P72" s="11">
        <v>5</v>
      </c>
      <c r="Q72" s="11">
        <v>8.7987053157040602</v>
      </c>
      <c r="R72" s="14">
        <v>9.5576732497153642</v>
      </c>
      <c r="S72" s="14">
        <v>4.9272481765811849</v>
      </c>
      <c r="T72" s="4"/>
      <c r="U72" s="74"/>
      <c r="V72" s="11">
        <v>5</v>
      </c>
      <c r="W72" s="11">
        <v>8.9432688295769405E-2</v>
      </c>
      <c r="X72" s="14">
        <v>0.25411956706949113</v>
      </c>
      <c r="Y72" s="58">
        <v>1.0115055387321932</v>
      </c>
    </row>
    <row r="73" spans="15:25" x14ac:dyDescent="0.5">
      <c r="O73" s="18" t="s">
        <v>25</v>
      </c>
      <c r="P73" s="11">
        <v>1</v>
      </c>
      <c r="Q73" s="11">
        <v>9.497675320040079</v>
      </c>
      <c r="R73" s="14">
        <v>5.5741674275769224</v>
      </c>
      <c r="S73" s="14">
        <v>3.5434328106007538</v>
      </c>
      <c r="T73" s="4"/>
      <c r="U73" s="74" t="s">
        <v>25</v>
      </c>
      <c r="V73" s="11">
        <v>1</v>
      </c>
      <c r="W73" s="11">
        <v>0.12190580022906911</v>
      </c>
      <c r="X73" s="14">
        <v>1.446349014343383</v>
      </c>
      <c r="Y73" s="58">
        <v>0</v>
      </c>
    </row>
    <row r="74" spans="15:25" x14ac:dyDescent="0.5">
      <c r="O74" s="17"/>
      <c r="P74" s="11">
        <v>3</v>
      </c>
      <c r="Q74" s="11">
        <v>9.5434328106007538</v>
      </c>
      <c r="R74" s="14">
        <v>8.5999565346798548</v>
      </c>
      <c r="S74" s="14">
        <v>3.5434328106007538</v>
      </c>
      <c r="T74" s="4"/>
      <c r="U74" s="11"/>
      <c r="V74" s="11">
        <v>3</v>
      </c>
      <c r="W74" s="11">
        <v>0.48933638412718633</v>
      </c>
      <c r="X74" s="14">
        <v>1.5373912533926726</v>
      </c>
      <c r="Y74" s="58">
        <v>0</v>
      </c>
    </row>
    <row r="75" spans="15:25" ht="14.7" thickBot="1" x14ac:dyDescent="0.55000000000000004">
      <c r="O75" s="19"/>
      <c r="P75" s="20">
        <v>5</v>
      </c>
      <c r="Q75" s="20">
        <v>9.1307695451080093</v>
      </c>
      <c r="R75" s="57">
        <v>9.6997800114606783</v>
      </c>
      <c r="S75" s="57">
        <v>3.5434328106007538</v>
      </c>
      <c r="T75" s="21"/>
      <c r="U75" s="20"/>
      <c r="V75" s="20">
        <v>5</v>
      </c>
      <c r="W75" s="20">
        <v>0.37868783334485895</v>
      </c>
      <c r="X75" s="57">
        <v>0.10694748417982999</v>
      </c>
      <c r="Y75" s="59">
        <v>0</v>
      </c>
    </row>
    <row r="76" spans="15:25" ht="14.7" thickBot="1" x14ac:dyDescent="0.55000000000000004"/>
    <row r="77" spans="15:25" x14ac:dyDescent="0.5">
      <c r="O77" s="76" t="s">
        <v>55</v>
      </c>
      <c r="P77" s="77"/>
      <c r="Q77" s="77"/>
      <c r="R77" s="77"/>
      <c r="S77" s="77"/>
      <c r="T77" s="77"/>
      <c r="U77" s="77"/>
      <c r="V77" s="77"/>
      <c r="W77" s="77"/>
      <c r="X77" s="78"/>
      <c r="Y77" s="40"/>
    </row>
    <row r="78" spans="15:25" x14ac:dyDescent="0.5">
      <c r="O78" s="17"/>
      <c r="P78" s="11"/>
      <c r="Q78" s="24"/>
      <c r="R78" s="72"/>
      <c r="S78" s="73"/>
      <c r="T78" s="4"/>
      <c r="U78" s="11"/>
      <c r="V78" s="11"/>
      <c r="W78" s="74" t="s">
        <v>61</v>
      </c>
      <c r="X78" s="75"/>
      <c r="Y78" s="41"/>
    </row>
    <row r="79" spans="15:25" ht="43" x14ac:dyDescent="0.5">
      <c r="O79" s="25" t="s">
        <v>57</v>
      </c>
      <c r="P79" s="22" t="s">
        <v>56</v>
      </c>
      <c r="Q79" s="22" t="s">
        <v>53</v>
      </c>
      <c r="R79" s="22" t="s">
        <v>56</v>
      </c>
      <c r="S79" s="22" t="s">
        <v>54</v>
      </c>
      <c r="T79" s="4"/>
      <c r="U79" s="74"/>
      <c r="V79" s="11"/>
      <c r="W79" s="74" t="s">
        <v>48</v>
      </c>
      <c r="X79" s="75" t="s">
        <v>49</v>
      </c>
      <c r="Y79" s="7"/>
    </row>
    <row r="80" spans="15:25" x14ac:dyDescent="0.5">
      <c r="O80" s="18" t="s">
        <v>23</v>
      </c>
      <c r="P80" s="11">
        <v>0.9</v>
      </c>
      <c r="Q80" s="39">
        <v>5.5720967679505193</v>
      </c>
      <c r="R80" s="11">
        <v>1.1000000000000001</v>
      </c>
      <c r="S80" s="39">
        <v>6.5720967679505193</v>
      </c>
      <c r="T80" s="4"/>
      <c r="U80" s="74" t="s">
        <v>23</v>
      </c>
      <c r="V80" s="11">
        <v>1</v>
      </c>
      <c r="W80" s="74">
        <v>1</v>
      </c>
      <c r="X80" s="75">
        <v>0</v>
      </c>
      <c r="Y80" s="8"/>
    </row>
    <row r="81" spans="15:25" x14ac:dyDescent="0.5">
      <c r="O81" s="18"/>
      <c r="P81" s="11">
        <v>2.9</v>
      </c>
      <c r="Q81" s="39">
        <v>3.8280260949157081</v>
      </c>
      <c r="R81" s="11">
        <v>3.1</v>
      </c>
      <c r="S81" s="39">
        <v>5.5797835966168101</v>
      </c>
      <c r="T81" s="4"/>
      <c r="U81" s="74"/>
      <c r="V81" s="11">
        <v>3</v>
      </c>
      <c r="W81" s="74">
        <v>1.7517575017011022</v>
      </c>
      <c r="X81" s="75">
        <v>0</v>
      </c>
      <c r="Y81" s="8"/>
    </row>
    <row r="82" spans="15:25" x14ac:dyDescent="0.5">
      <c r="O82" s="18"/>
      <c r="P82" s="11">
        <v>4.9000000000000004</v>
      </c>
      <c r="Q82" s="39">
        <v>0.58157583163223114</v>
      </c>
      <c r="R82" s="11">
        <v>5.0999999999999996</v>
      </c>
      <c r="S82" s="39">
        <v>6.1249387366082999</v>
      </c>
      <c r="T82" s="4"/>
      <c r="U82" s="74"/>
      <c r="V82" s="11">
        <v>5</v>
      </c>
      <c r="W82" s="74">
        <v>0.29213052083463559</v>
      </c>
      <c r="X82" s="75">
        <v>0</v>
      </c>
      <c r="Y82" s="8"/>
    </row>
    <row r="83" spans="15:25" x14ac:dyDescent="0.5">
      <c r="O83" s="18" t="s">
        <v>24</v>
      </c>
      <c r="P83" s="11">
        <v>0.9</v>
      </c>
      <c r="Q83" s="39">
        <v>4.6967255434496957</v>
      </c>
      <c r="R83" s="11">
        <v>1.1000000000000001</v>
      </c>
      <c r="S83" s="39">
        <v>5.6020599913279625</v>
      </c>
      <c r="T83" s="4"/>
      <c r="U83" s="74" t="s">
        <v>24</v>
      </c>
      <c r="V83" s="11">
        <v>1</v>
      </c>
      <c r="W83" s="74">
        <v>0.90533444787826656</v>
      </c>
      <c r="X83" s="75">
        <v>0</v>
      </c>
      <c r="Y83" s="8"/>
    </row>
    <row r="84" spans="15:25" x14ac:dyDescent="0.5">
      <c r="O84" s="18"/>
      <c r="P84" s="11">
        <v>2.9</v>
      </c>
      <c r="Q84" s="39">
        <v>2.17320677016053</v>
      </c>
      <c r="R84" s="11">
        <v>3.1</v>
      </c>
      <c r="S84" s="39">
        <v>6.3553876579865731</v>
      </c>
      <c r="T84" s="4"/>
      <c r="U84" s="74"/>
      <c r="V84" s="11">
        <v>3</v>
      </c>
      <c r="W84" s="74">
        <v>0.46936379924333277</v>
      </c>
      <c r="X84" s="75">
        <v>0</v>
      </c>
      <c r="Y84" s="8"/>
    </row>
    <row r="85" spans="15:25" x14ac:dyDescent="0.5">
      <c r="O85" s="18"/>
      <c r="P85" s="11">
        <v>4.9000000000000004</v>
      </c>
      <c r="Q85" s="39">
        <v>0.27583762173771476</v>
      </c>
      <c r="R85" s="11">
        <v>5.0999999999999996</v>
      </c>
      <c r="S85" s="39">
        <v>2.5055743440866691</v>
      </c>
      <c r="T85" s="4"/>
      <c r="U85" s="74"/>
      <c r="V85" s="11">
        <v>5</v>
      </c>
      <c r="W85" s="74">
        <v>0.16301284177103254</v>
      </c>
      <c r="X85" s="75">
        <v>1.6866312672296087</v>
      </c>
      <c r="Y85" s="8"/>
    </row>
    <row r="86" spans="15:25" x14ac:dyDescent="0.5">
      <c r="O86" s="18" t="s">
        <v>5</v>
      </c>
      <c r="P86" s="11">
        <v>0.9</v>
      </c>
      <c r="Q86" s="39">
        <v>4.1672298154034664</v>
      </c>
      <c r="R86" s="11">
        <v>1.1000000000000001</v>
      </c>
      <c r="S86" s="39">
        <v>5.6020599913279625</v>
      </c>
      <c r="T86" s="4"/>
      <c r="U86" s="74" t="s">
        <v>5</v>
      </c>
      <c r="V86" s="11">
        <v>1</v>
      </c>
      <c r="W86" s="74">
        <v>0.48447935913738688</v>
      </c>
      <c r="X86" s="75">
        <v>0</v>
      </c>
      <c r="Y86" s="8"/>
    </row>
    <row r="87" spans="15:25" x14ac:dyDescent="0.5">
      <c r="O87" s="18"/>
      <c r="P87" s="11">
        <v>2.9</v>
      </c>
      <c r="Q87" s="39">
        <v>1.3715287584724827</v>
      </c>
      <c r="R87" s="11">
        <v>3.1</v>
      </c>
      <c r="S87" s="39">
        <v>5.688456084249089</v>
      </c>
      <c r="T87" s="4"/>
      <c r="U87" s="74"/>
      <c r="V87" s="11">
        <v>3</v>
      </c>
      <c r="W87" s="74">
        <v>0.38489586071533899</v>
      </c>
      <c r="X87" s="75">
        <v>0.47922219971701785</v>
      </c>
      <c r="Y87" s="8"/>
    </row>
    <row r="88" spans="15:25" x14ac:dyDescent="0.5">
      <c r="O88" s="18"/>
      <c r="P88" s="11">
        <v>4.9000000000000004</v>
      </c>
      <c r="Q88" s="39">
        <v>0</v>
      </c>
      <c r="R88" s="11">
        <v>5.0999999999999996</v>
      </c>
      <c r="S88" s="39">
        <v>4.5721998308799128</v>
      </c>
      <c r="T88" s="4"/>
      <c r="U88" s="74"/>
      <c r="V88" s="11">
        <v>5</v>
      </c>
      <c r="W88" s="74">
        <v>0</v>
      </c>
      <c r="X88" s="75">
        <v>0.58399299507382918</v>
      </c>
      <c r="Y88" s="8"/>
    </row>
    <row r="89" spans="15:25" x14ac:dyDescent="0.5">
      <c r="O89" s="18" t="s">
        <v>25</v>
      </c>
      <c r="P89" s="11">
        <v>0.9</v>
      </c>
      <c r="Q89" s="39">
        <v>5.1191925166660228</v>
      </c>
      <c r="R89" s="11">
        <v>1.1000000000000001</v>
      </c>
      <c r="S89" s="39">
        <v>5.9542425094393252</v>
      </c>
      <c r="T89" s="4"/>
      <c r="U89" s="74" t="s">
        <v>25</v>
      </c>
      <c r="V89" s="11">
        <v>1</v>
      </c>
      <c r="W89" s="74">
        <v>0.83504999277330139</v>
      </c>
      <c r="X89" s="75">
        <v>0</v>
      </c>
      <c r="Y89" s="8"/>
    </row>
    <row r="90" spans="15:25" x14ac:dyDescent="0.5">
      <c r="O90" s="17"/>
      <c r="P90" s="11">
        <v>2.9</v>
      </c>
      <c r="Q90" s="39">
        <v>2.2301232775247004</v>
      </c>
      <c r="R90" s="11">
        <v>3.1</v>
      </c>
      <c r="S90" s="39">
        <v>6</v>
      </c>
      <c r="T90" s="4"/>
      <c r="U90" s="11"/>
      <c r="V90" s="11">
        <v>3</v>
      </c>
      <c r="W90" s="74">
        <v>0.88761325399603785</v>
      </c>
      <c r="X90" s="75">
        <v>0</v>
      </c>
      <c r="Y90" s="8"/>
    </row>
    <row r="91" spans="15:25" ht="14.7" thickBot="1" x14ac:dyDescent="0.55000000000000004">
      <c r="O91" s="19"/>
      <c r="P91" s="20">
        <v>4.9000000000000004</v>
      </c>
      <c r="Q91" s="44">
        <v>0</v>
      </c>
      <c r="R91" s="20">
        <v>5.0999999999999996</v>
      </c>
      <c r="S91" s="44">
        <v>5.5873367345072564</v>
      </c>
      <c r="T91" s="21"/>
      <c r="U91" s="20"/>
      <c r="V91" s="20">
        <v>5</v>
      </c>
      <c r="W91" s="42">
        <v>0</v>
      </c>
      <c r="X91" s="43">
        <v>0</v>
      </c>
      <c r="Y91" s="8"/>
    </row>
    <row r="97" spans="15:15" x14ac:dyDescent="0.5">
      <c r="O97" t="s">
        <v>67</v>
      </c>
    </row>
  </sheetData>
  <mergeCells count="37">
    <mergeCell ref="P5:P6"/>
    <mergeCell ref="C5:H5"/>
    <mergeCell ref="J23:J24"/>
    <mergeCell ref="C41:H41"/>
    <mergeCell ref="J5:J6"/>
    <mergeCell ref="B22:M22"/>
    <mergeCell ref="C6:E6"/>
    <mergeCell ref="F6:H6"/>
    <mergeCell ref="O61:Y61"/>
    <mergeCell ref="Q8:S8"/>
    <mergeCell ref="T8:V8"/>
    <mergeCell ref="W8:Y8"/>
    <mergeCell ref="AB7:AB8"/>
    <mergeCell ref="AB25:AB26"/>
    <mergeCell ref="W26:Y26"/>
    <mergeCell ref="Q26:S26"/>
    <mergeCell ref="T26:V26"/>
    <mergeCell ref="Q44:S44"/>
    <mergeCell ref="T44:V44"/>
    <mergeCell ref="W44:Y44"/>
    <mergeCell ref="P43:V43"/>
    <mergeCell ref="AC7:AC8"/>
    <mergeCell ref="C42:E42"/>
    <mergeCell ref="F42:H42"/>
    <mergeCell ref="J41:J42"/>
    <mergeCell ref="C23:H23"/>
    <mergeCell ref="C24:E24"/>
    <mergeCell ref="F24:H24"/>
    <mergeCell ref="B40:M40"/>
    <mergeCell ref="N7:N9"/>
    <mergeCell ref="N11:N13"/>
    <mergeCell ref="N19:N21"/>
    <mergeCell ref="N15:N17"/>
    <mergeCell ref="P25:Y25"/>
    <mergeCell ref="P7:Y7"/>
    <mergeCell ref="AA7:AA8"/>
    <mergeCell ref="AA25:AA26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3D71-919E-4E59-B3B5-08837EC981E5}">
  <dimension ref="B3:Q34"/>
  <sheetViews>
    <sheetView zoomScale="75" workbookViewId="0">
      <selection activeCell="C19" sqref="C19"/>
    </sheetView>
  </sheetViews>
  <sheetFormatPr defaultColWidth="8.8203125" defaultRowHeight="14.35" x14ac:dyDescent="0.5"/>
  <cols>
    <col min="2" max="2" width="22.64453125" bestFit="1" customWidth="1"/>
    <col min="3" max="3" width="10.64453125" customWidth="1"/>
    <col min="8" max="8" width="11.64453125" bestFit="1" customWidth="1"/>
    <col min="9" max="9" width="9" bestFit="1" customWidth="1"/>
    <col min="15" max="15" width="15.17578125" customWidth="1"/>
    <col min="17" max="17" width="15.64453125" customWidth="1"/>
  </cols>
  <sheetData>
    <row r="3" spans="2:17" x14ac:dyDescent="0.5">
      <c r="B3" s="13" t="s">
        <v>0</v>
      </c>
      <c r="C3" s="13"/>
      <c r="D3" s="13"/>
      <c r="E3" s="13"/>
      <c r="F3" s="13"/>
      <c r="G3" s="13"/>
      <c r="H3" s="48" t="s">
        <v>29</v>
      </c>
      <c r="I3" s="13"/>
      <c r="J3" s="13" t="s">
        <v>31</v>
      </c>
      <c r="K3" s="13" t="s">
        <v>32</v>
      </c>
      <c r="L3" s="13" t="s">
        <v>33</v>
      </c>
      <c r="M3" s="13" t="s">
        <v>34</v>
      </c>
      <c r="N3" s="13"/>
      <c r="O3" s="13"/>
      <c r="P3" s="13"/>
    </row>
    <row r="4" spans="2:17" x14ac:dyDescent="0.5">
      <c r="B4" s="13"/>
      <c r="C4" s="13"/>
      <c r="D4" s="13"/>
      <c r="E4" s="13"/>
      <c r="F4" s="13"/>
      <c r="G4" s="13"/>
      <c r="H4" s="13"/>
      <c r="I4" s="13"/>
      <c r="J4" s="13" t="s">
        <v>30</v>
      </c>
      <c r="K4" s="13">
        <f>(0.95/2)</f>
        <v>0.47499999999999998</v>
      </c>
      <c r="L4" s="13">
        <f>K4*K4*3.14</f>
        <v>0.7084625</v>
      </c>
      <c r="M4" s="13">
        <f>L4*10</f>
        <v>7.084625</v>
      </c>
      <c r="N4" s="13"/>
      <c r="O4" s="13"/>
      <c r="P4" s="13"/>
    </row>
    <row r="5" spans="2:17" x14ac:dyDescent="0.5">
      <c r="B5" s="48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8"/>
      <c r="O5" s="8"/>
      <c r="P5" s="13"/>
    </row>
    <row r="6" spans="2:17" x14ac:dyDescent="0.5">
      <c r="B6" s="49" t="s">
        <v>2</v>
      </c>
      <c r="C6" s="13" t="s">
        <v>7</v>
      </c>
      <c r="D6" s="13"/>
      <c r="E6" s="13"/>
      <c r="F6" s="48" t="s">
        <v>26</v>
      </c>
      <c r="G6" s="13"/>
      <c r="H6" s="8" t="s">
        <v>28</v>
      </c>
      <c r="I6" s="7">
        <f>AVERAGE(H7:J7)</f>
        <v>9.0948102446148393</v>
      </c>
      <c r="J6" s="7"/>
      <c r="K6" s="45" t="s">
        <v>28</v>
      </c>
      <c r="L6" s="53" t="s">
        <v>27</v>
      </c>
      <c r="M6" s="50" t="s">
        <v>60</v>
      </c>
      <c r="N6" s="54" t="s">
        <v>38</v>
      </c>
      <c r="O6" s="45" t="s">
        <v>63</v>
      </c>
      <c r="P6" s="13"/>
      <c r="Q6" s="50"/>
    </row>
    <row r="7" spans="2:17" x14ac:dyDescent="0.5">
      <c r="B7" s="11" t="s">
        <v>3</v>
      </c>
      <c r="C7" s="51">
        <v>3500000000</v>
      </c>
      <c r="D7" s="51">
        <v>1000000000</v>
      </c>
      <c r="E7" s="51">
        <v>550000000</v>
      </c>
      <c r="F7" s="10">
        <f>AVERAGE(C7:E7)</f>
        <v>1683333333.3333333</v>
      </c>
      <c r="G7" s="13"/>
      <c r="H7" s="16">
        <f>LOG10(C7)</f>
        <v>9.5440680443502757</v>
      </c>
      <c r="I7" s="16">
        <f t="shared" ref="I7:J7" si="0">LOG10(D7)</f>
        <v>9</v>
      </c>
      <c r="J7" s="16">
        <f t="shared" si="0"/>
        <v>8.7403626894942441</v>
      </c>
      <c r="K7" s="45">
        <f>LOG(F7,10)</f>
        <v>9.2261701233989992</v>
      </c>
      <c r="L7" s="53">
        <f>STDEV(H7:J7)</f>
        <v>0.41015522819904326</v>
      </c>
      <c r="M7" s="48">
        <f>L7/3^0.5</f>
        <v>0.23680323141025003</v>
      </c>
      <c r="N7" s="51">
        <f>(F7*10)/$L$4</f>
        <v>23760373108.433167</v>
      </c>
      <c r="O7" s="45">
        <f>LOG(N7,10)</f>
        <v>10.37585325607605</v>
      </c>
      <c r="P7" s="13"/>
      <c r="Q7" s="56"/>
    </row>
    <row r="8" spans="2:17" x14ac:dyDescent="0.5">
      <c r="B8" s="11" t="s">
        <v>4</v>
      </c>
      <c r="C8" s="51">
        <v>4000000000</v>
      </c>
      <c r="D8" s="51">
        <v>2000000000</v>
      </c>
      <c r="E8" s="51">
        <v>1000000000</v>
      </c>
      <c r="F8" s="10">
        <f t="shared" ref="F8:F10" si="1">AVERAGE(C8:E8)</f>
        <v>2333333333.3333335</v>
      </c>
      <c r="G8" s="13"/>
      <c r="H8" s="16">
        <f t="shared" ref="H8:H10" si="2">LOG10(C8)</f>
        <v>9.6020599913279625</v>
      </c>
      <c r="I8" s="16">
        <f t="shared" ref="I8:I10" si="3">LOG10(D8)</f>
        <v>9.3010299956639813</v>
      </c>
      <c r="J8" s="16">
        <f t="shared" ref="J8:J10" si="4">LOG10(E8)</f>
        <v>9</v>
      </c>
      <c r="K8" s="45">
        <f>LOG(F8,10)</f>
        <v>9.3679767852945943</v>
      </c>
      <c r="L8" s="53">
        <f t="shared" ref="L8:L10" si="5">STDEV(H8:J8)</f>
        <v>0.30102999566398125</v>
      </c>
      <c r="M8" s="48">
        <f>L8/3^0.5</f>
        <v>0.17379974903075146</v>
      </c>
      <c r="N8" s="51">
        <f>(F8*10)/$L$4</f>
        <v>32935170645.352909</v>
      </c>
      <c r="O8" s="45">
        <f t="shared" ref="O8:O10" si="6">LOG(N8,10)</f>
        <v>10.517659917971645</v>
      </c>
      <c r="P8" s="13"/>
      <c r="Q8" s="56"/>
    </row>
    <row r="9" spans="2:17" x14ac:dyDescent="0.5">
      <c r="B9" s="11" t="s">
        <v>5</v>
      </c>
      <c r="C9" s="51">
        <v>4000000000</v>
      </c>
      <c r="D9" s="51">
        <v>4000000000</v>
      </c>
      <c r="E9" s="51">
        <v>1000000000</v>
      </c>
      <c r="F9" s="10">
        <f t="shared" si="1"/>
        <v>3000000000</v>
      </c>
      <c r="G9" s="13"/>
      <c r="H9" s="16">
        <f t="shared" si="2"/>
        <v>9.6020599913279625</v>
      </c>
      <c r="I9" s="16">
        <f t="shared" si="3"/>
        <v>9.6020599913279625</v>
      </c>
      <c r="J9" s="16">
        <f t="shared" si="4"/>
        <v>9</v>
      </c>
      <c r="K9" s="45">
        <f>LOG(F9,10)</f>
        <v>9.4771212547196626</v>
      </c>
      <c r="L9" s="53">
        <f t="shared" si="5"/>
        <v>0.34759949806150292</v>
      </c>
      <c r="M9" s="48">
        <f t="shared" ref="M9:M10" si="7">L9/3^0.5</f>
        <v>0.20068666377598751</v>
      </c>
      <c r="N9" s="51">
        <f>(F9*10)/$L$4</f>
        <v>42345219401.168022</v>
      </c>
      <c r="O9" s="45">
        <f t="shared" si="6"/>
        <v>10.626804387396714</v>
      </c>
      <c r="P9" s="13"/>
      <c r="Q9" s="56"/>
    </row>
    <row r="10" spans="2:17" x14ac:dyDescent="0.5">
      <c r="B10" s="11" t="s">
        <v>6</v>
      </c>
      <c r="C10" s="51">
        <v>2500000000</v>
      </c>
      <c r="D10" s="51">
        <v>700000000</v>
      </c>
      <c r="E10" s="51">
        <v>350000000</v>
      </c>
      <c r="F10" s="10">
        <f t="shared" si="1"/>
        <v>1183333333.3333333</v>
      </c>
      <c r="G10" s="13"/>
      <c r="H10" s="16">
        <f t="shared" si="2"/>
        <v>9.3979400086720375</v>
      </c>
      <c r="I10" s="16">
        <f t="shared" si="3"/>
        <v>8.8450980400142569</v>
      </c>
      <c r="J10" s="16">
        <f t="shared" si="4"/>
        <v>8.5440680443502757</v>
      </c>
      <c r="K10" s="45">
        <f>LOG(F10,10)</f>
        <v>9.0731070983354307</v>
      </c>
      <c r="L10" s="53">
        <f t="shared" si="5"/>
        <v>0.43308017580535269</v>
      </c>
      <c r="M10" s="48">
        <f t="shared" si="7"/>
        <v>0.25003895608191085</v>
      </c>
      <c r="N10" s="51">
        <f>(F10*10)/$L$4</f>
        <v>16702836541.571829</v>
      </c>
      <c r="O10" s="45">
        <f t="shared" si="6"/>
        <v>10.222790231012482</v>
      </c>
      <c r="P10" s="13"/>
      <c r="Q10" s="56"/>
    </row>
    <row r="11" spans="2:17" x14ac:dyDescent="0.5">
      <c r="B11" s="13"/>
      <c r="C11" s="13"/>
      <c r="D11" s="13"/>
      <c r="E11" s="13"/>
      <c r="F11" s="13"/>
      <c r="G11" s="13"/>
      <c r="H11" s="8"/>
      <c r="I11" s="8"/>
      <c r="J11" s="8"/>
      <c r="K11" s="48"/>
      <c r="L11" s="48"/>
      <c r="M11" s="13"/>
      <c r="N11" s="51"/>
      <c r="O11" s="8"/>
      <c r="P11" s="13"/>
      <c r="Q11" s="56"/>
    </row>
    <row r="12" spans="2:17" x14ac:dyDescent="0.5">
      <c r="B12" s="97"/>
      <c r="C12" s="8"/>
      <c r="D12" s="8"/>
      <c r="E12" s="8"/>
      <c r="F12" s="94"/>
      <c r="G12" s="94"/>
      <c r="H12" s="8"/>
      <c r="I12" s="94"/>
      <c r="J12" s="94"/>
      <c r="K12" s="94"/>
      <c r="L12" s="54"/>
      <c r="M12" s="94"/>
      <c r="N12" s="54"/>
      <c r="O12" s="94"/>
      <c r="P12" s="13"/>
      <c r="Q12" s="56"/>
    </row>
    <row r="13" spans="2:17" x14ac:dyDescent="0.5">
      <c r="B13" s="8"/>
      <c r="C13" s="98"/>
      <c r="D13" s="98"/>
      <c r="E13" s="98"/>
      <c r="F13" s="98"/>
      <c r="G13" s="8"/>
      <c r="H13" s="84"/>
      <c r="I13" s="84"/>
      <c r="J13" s="84"/>
      <c r="K13" s="94"/>
      <c r="L13" s="54"/>
      <c r="M13" s="94"/>
      <c r="N13" s="98"/>
      <c r="O13" s="94"/>
      <c r="P13" s="13"/>
      <c r="Q13" s="56"/>
    </row>
    <row r="14" spans="2:17" x14ac:dyDescent="0.5">
      <c r="B14" s="8"/>
      <c r="C14" s="98"/>
      <c r="D14" s="98"/>
      <c r="E14" s="98"/>
      <c r="F14" s="98"/>
      <c r="G14" s="8"/>
      <c r="H14" s="84"/>
      <c r="I14" s="84"/>
      <c r="J14" s="84"/>
      <c r="K14" s="94"/>
      <c r="L14" s="54"/>
      <c r="M14" s="94"/>
      <c r="N14" s="98"/>
      <c r="O14" s="94"/>
      <c r="P14" s="13"/>
      <c r="Q14" s="56"/>
    </row>
    <row r="15" spans="2:17" x14ac:dyDescent="0.5">
      <c r="B15" s="8"/>
      <c r="C15" s="98"/>
      <c r="D15" s="98"/>
      <c r="E15" s="98"/>
      <c r="F15" s="98"/>
      <c r="G15" s="8"/>
      <c r="H15" s="84"/>
      <c r="I15" s="84"/>
      <c r="J15" s="84"/>
      <c r="K15" s="94"/>
      <c r="L15" s="54"/>
      <c r="M15" s="94"/>
      <c r="N15" s="98"/>
      <c r="O15" s="94"/>
      <c r="P15" s="13"/>
      <c r="Q15" s="56"/>
    </row>
    <row r="16" spans="2:17" x14ac:dyDescent="0.5">
      <c r="B16" s="8"/>
      <c r="C16" s="98"/>
      <c r="D16" s="98"/>
      <c r="E16" s="98"/>
      <c r="F16" s="98"/>
      <c r="G16" s="8"/>
      <c r="H16" s="84"/>
      <c r="I16" s="84"/>
      <c r="J16" s="84"/>
      <c r="K16" s="94"/>
      <c r="L16" s="54"/>
      <c r="M16" s="94"/>
      <c r="N16" s="98"/>
      <c r="O16" s="94"/>
      <c r="P16" s="13"/>
      <c r="Q16" s="56"/>
    </row>
    <row r="17" spans="2:17" x14ac:dyDescent="0.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56"/>
    </row>
    <row r="18" spans="2:17" x14ac:dyDescent="0.5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56"/>
    </row>
    <row r="19" spans="2:17" x14ac:dyDescent="0.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2:17" x14ac:dyDescent="0.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2:17" x14ac:dyDescent="0.5">
      <c r="B21" s="13"/>
      <c r="C21" s="93" t="s">
        <v>21</v>
      </c>
      <c r="D21" s="8"/>
      <c r="E21" s="8"/>
      <c r="F21" s="11" t="s">
        <v>27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2:17" x14ac:dyDescent="0.5">
      <c r="B22" s="13"/>
      <c r="C22" s="11" t="s">
        <v>22</v>
      </c>
      <c r="D22" s="8"/>
      <c r="E22" s="8"/>
      <c r="F22" s="11" t="s">
        <v>22</v>
      </c>
      <c r="G22" s="8"/>
      <c r="H22" s="13"/>
      <c r="I22" s="13"/>
      <c r="J22" s="13"/>
      <c r="K22" s="13"/>
      <c r="L22" s="13"/>
      <c r="M22" s="13"/>
      <c r="N22" s="13"/>
      <c r="O22" s="13"/>
      <c r="P22" s="13"/>
    </row>
    <row r="23" spans="2:17" x14ac:dyDescent="0.5">
      <c r="B23" s="28" t="s">
        <v>3</v>
      </c>
      <c r="C23" s="11">
        <v>10.37585325607605</v>
      </c>
      <c r="D23" s="8"/>
      <c r="E23" s="8"/>
      <c r="F23" s="11">
        <v>0.23680323141025003</v>
      </c>
      <c r="G23" s="8"/>
      <c r="H23" s="13"/>
      <c r="I23" s="13"/>
      <c r="J23" s="13"/>
      <c r="K23" s="13"/>
      <c r="L23" s="13"/>
      <c r="M23" s="13"/>
      <c r="N23" s="13"/>
      <c r="O23" s="13"/>
      <c r="P23" s="13"/>
    </row>
    <row r="24" spans="2:17" x14ac:dyDescent="0.5">
      <c r="B24" s="28" t="s">
        <v>4</v>
      </c>
      <c r="C24" s="11">
        <v>10.517659917971645</v>
      </c>
      <c r="D24" s="8"/>
      <c r="E24" s="8"/>
      <c r="F24" s="11">
        <v>0.17379974903075146</v>
      </c>
      <c r="G24" s="8"/>
      <c r="H24" s="13"/>
      <c r="I24" s="13"/>
      <c r="J24" s="13"/>
      <c r="K24" s="13"/>
      <c r="L24" s="13"/>
      <c r="M24" s="13"/>
      <c r="N24" s="86" t="s">
        <v>60</v>
      </c>
      <c r="O24" s="81" t="s">
        <v>63</v>
      </c>
      <c r="P24" s="82"/>
      <c r="Q24" s="87" t="s">
        <v>68</v>
      </c>
    </row>
    <row r="25" spans="2:17" x14ac:dyDescent="0.5">
      <c r="B25" s="28" t="s">
        <v>5</v>
      </c>
      <c r="C25" s="11">
        <v>10.626804387396714</v>
      </c>
      <c r="D25" s="8"/>
      <c r="E25" s="8"/>
      <c r="F25" s="11">
        <v>0.20068666377598751</v>
      </c>
      <c r="G25" s="8"/>
      <c r="H25" s="13"/>
      <c r="I25" s="13"/>
      <c r="J25" s="13"/>
      <c r="K25" s="13"/>
      <c r="L25" s="13"/>
      <c r="M25" s="13"/>
      <c r="N25" s="95">
        <v>0.23680323141025003</v>
      </c>
      <c r="O25" s="88">
        <v>10.3758532560761</v>
      </c>
      <c r="P25" s="83" t="s">
        <v>3</v>
      </c>
      <c r="Q25" s="89">
        <v>223.91</v>
      </c>
    </row>
    <row r="26" spans="2:17" x14ac:dyDescent="0.5">
      <c r="B26" s="28" t="s">
        <v>6</v>
      </c>
      <c r="C26" s="11">
        <v>10.222790231012482</v>
      </c>
      <c r="D26" s="8"/>
      <c r="E26" s="8"/>
      <c r="F26" s="11">
        <v>0.25003895608191085</v>
      </c>
      <c r="G26" s="8"/>
      <c r="H26" s="13"/>
      <c r="I26" s="13"/>
      <c r="J26" s="13"/>
      <c r="K26" s="13"/>
      <c r="L26" s="13"/>
      <c r="M26" s="13"/>
      <c r="N26" s="95">
        <v>0.25003895608191085</v>
      </c>
      <c r="O26" s="88">
        <v>10.2227902310125</v>
      </c>
      <c r="P26" s="83" t="s">
        <v>69</v>
      </c>
      <c r="Q26" s="89">
        <v>300.41000000000003</v>
      </c>
    </row>
    <row r="27" spans="2:17" x14ac:dyDescent="0.5">
      <c r="B27" s="13"/>
      <c r="C27" s="8"/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95">
        <v>0.17379974903075146</v>
      </c>
      <c r="O27" s="88">
        <v>10.517659917971599</v>
      </c>
      <c r="P27" s="83" t="s">
        <v>24</v>
      </c>
      <c r="Q27" s="89">
        <v>976.24</v>
      </c>
    </row>
    <row r="28" spans="2:17" x14ac:dyDescent="0.5">
      <c r="B28" s="13"/>
      <c r="C28" s="13"/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96">
        <v>0.20068666377598751</v>
      </c>
      <c r="O28" s="90">
        <v>10.6268043873967</v>
      </c>
      <c r="P28" s="91" t="s">
        <v>5</v>
      </c>
      <c r="Q28" s="92">
        <v>3866.52</v>
      </c>
    </row>
    <row r="29" spans="2:17" x14ac:dyDescent="0.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2:17" x14ac:dyDescent="0.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2:17" x14ac:dyDescent="0.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2:17" x14ac:dyDescent="0.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2:16" x14ac:dyDescent="0.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2:16" x14ac:dyDescent="0.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Xen41 CFU's</vt:lpstr>
      <vt:lpstr>3 Day Biofilm CFU's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 Dusane</dc:creator>
  <cp:lastModifiedBy>Paul Stoodley</cp:lastModifiedBy>
  <dcterms:created xsi:type="dcterms:W3CDTF">2019-07-10T16:09:31Z</dcterms:created>
  <dcterms:modified xsi:type="dcterms:W3CDTF">2021-03-15T15:23:32Z</dcterms:modified>
</cp:coreProperties>
</file>