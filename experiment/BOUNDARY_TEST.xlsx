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Design" sheetId="2" state="visible" r:id="rId2"/>
    <sheet xmlns:r="http://schemas.openxmlformats.org/officeDocument/2006/relationships" name="Prediction" sheetId="3" state="visible" r:id="rId3"/>
    <sheet xmlns:r="http://schemas.openxmlformats.org/officeDocument/2006/relationships" name="Counts" sheetId="4" state="visible" r:id="rId4"/>
    <sheet xmlns:r="http://schemas.openxmlformats.org/officeDocument/2006/relationships" name="Day 0 check"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A1A1A"/>
      <sz val="14"/>
    </font>
    <font>
      <color rgb="001A1A1A"/>
      <sz val="10"/>
    </font>
    <font>
      <b val="1"/>
      <color rgb="001A1A1A"/>
      <sz val="11"/>
    </font>
    <font>
      <b val="1"/>
      <color rgb="00FFFFFF"/>
      <sz val="10"/>
    </font>
    <font>
      <color rgb="006B6B6B"/>
      <sz val="9"/>
    </font>
    <font>
      <name val="Consolas"/>
      <color rgb="001A1A1A"/>
      <sz val="10"/>
    </font>
  </fonts>
  <fills count="5">
    <fill>
      <patternFill/>
    </fill>
    <fill>
      <patternFill patternType="gray125"/>
    </fill>
    <fill>
      <patternFill patternType="solid">
        <fgColor rgb="001F3B57"/>
      </patternFill>
    </fill>
    <fill>
      <patternFill patternType="solid">
        <fgColor rgb="00FFF8E1"/>
      </patternFill>
    </fill>
    <fill>
      <patternFill patternType="solid">
        <fgColor rgb="00EEF3F8"/>
      </patternFill>
    </fill>
  </fills>
  <borders count="2">
    <border>
      <left/>
      <right/>
      <top/>
      <bottom/>
      <diagonal/>
    </border>
    <border>
      <left style="thin">
        <color rgb="00C8C8C0"/>
      </left>
      <right style="thin">
        <color rgb="00C8C8C0"/>
      </right>
      <top style="thin">
        <color rgb="00C8C8C0"/>
      </top>
      <bottom style="thin">
        <color rgb="00C8C8C0"/>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vertical="center" wrapText="1"/>
    </xf>
    <xf numFmtId="0" fontId="2" fillId="0" borderId="0" pivotButton="0" quotePrefix="0" xfId="0"/>
    <xf numFmtId="0" fontId="2" fillId="3" borderId="1" pivotButton="0" quotePrefix="0" xfId="0"/>
    <xf numFmtId="0" fontId="5" fillId="0" borderId="0" pivotButton="0" quotePrefix="0" xfId="0"/>
    <xf numFmtId="0" fontId="5" fillId="0" borderId="0" applyAlignment="1" pivotButton="0" quotePrefix="0" xfId="0">
      <alignment vertical="top" wrapText="1"/>
    </xf>
    <xf numFmtId="0" fontId="2" fillId="0" borderId="1" pivotButton="0" quotePrefix="0" xfId="0"/>
    <xf numFmtId="2" fontId="6" fillId="4" borderId="1" pivotButton="0" quotePrefix="0" xfId="0"/>
    <xf numFmtId="0" fontId="6" fillId="4" borderId="1" applyAlignment="1" pivotButton="0" quotePrefix="0" xfId="0">
      <alignment horizontal="center"/>
    </xf>
    <xf numFmtId="0" fontId="0" fillId="3" borderId="1" pivotButton="0" quotePrefix="0" xfId="0"/>
    <xf numFmtId="0" fontId="6"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08" customWidth="1" min="1" max="1"/>
  </cols>
  <sheetData>
    <row r="1">
      <c r="A1" s="1" t="inlineStr">
        <is>
          <t>Prospective test of the reachability and identifiability boundaries</t>
        </is>
      </c>
    </row>
    <row r="3" ht="90" customHeight="1">
      <c r="A3" s="2" t="inlineStr">
        <is>
          <t>WHAT THIS TESTS. A q-log endpoint can only be observed in a culture that starts far enough above the assay floor to have q logs to fall. Write L for the smallest positive count the method can report and N0 for the starting density; the headroom is h = log10(N0/L), and a q-log endpoint is reportable only where h &gt;= q. The second boundary is about labels: above L/c1, where c1 is the lowest tolerance-class threshold, a reading that lands on the floor is compatible with only the lowest class, whatever the drug did.</t>
        </is>
      </c>
    </row>
    <row r="5" ht="105" customHeight="1">
      <c r="A5" s="2" t="inlineStr">
        <is>
          <t>READ THIS BEFORE SPENDING ANY MONEY. Half of what this workbook was built to test has already been measured by somebody else, and the data are public. The ERA4TB six-laboratory deposit plates every sample four ways -- 100 uL, 10 uL twice, and 2.5 uL -- which is three different floors on one culture. In 20 of its 72 treated flasks, 27.8 per cent, those four platings disagree about whether that culture ever fell below the limit. One flask, one drug, one moment, four answers, decided by the pipette. That is the floor-moving control, already done, by six independent laboratories under one written protocol, at no cost. Do not buy it again.</t>
        </is>
      </c>
    </row>
    <row r="7" ht="90" customHeight="1">
      <c r="A7" s="2" t="inlineStr">
        <is>
          <t>WHAT IS ACTUALLY WORTH BUYING is the other arm, and only that arm. The ERA4TB laboratories did not vary the INOCULUM on purpose: their starting densities differ, but the difference is confounded with which laboratory did the work, so it cannot separate the reachability boundary from every other thing that differs between laboratories. Seeding one strain, in one laboratory, with one drug, at three deliberate densities does separate it. That is this workbook, and it is half the experiment it started as.</t>
        </is>
      </c>
    </row>
    <row r="9" ht="90" customHeight="1">
      <c r="A9" s="2" t="inlineStr">
        <is>
          <t>THE PREDICTION. Seed at three densities chosen so one sits below L*10^4 and one comfortably above. The low-seeded cultures cannot report a four-log reduction however completely they are killed, and their reported surviving fraction converges on L/N0 rather than on anything the drug did. The defaults on the Design sheet are chosen so the MIDDLE level is the 5x10^5 inoculum the standard itself specifies -- which is legal at the 100 uL plating and impossible at 10 uL. Keep plating both ways: it costs one extra plate and it makes each culture its own control.</t>
        </is>
      </c>
    </row>
    <row r="11" ht="60" customHeight="1">
      <c r="A11" s="2" t="inlineStr">
        <is>
          <t>FILL IN THE DESIGN SHEET FIRST, AND DO NOT CHANGE IT AFTERWARDS. The predictions on the Prediction sheet are computed from it. Recording them before the first count is what allows the paper to say the boundaries were fixed in advance rather than fitted to the result. If you have to change the design after seeing data, save a new copy of this file and say so.</t>
        </is>
      </c>
    </row>
    <row r="13" ht="15" customHeight="1">
      <c r="A13" s="2" t="inlineStr">
        <is>
          <t>YELLOW cells are for you to fill. BLUE cells compute themselves -- do not type in them.</t>
        </is>
      </c>
    </row>
    <row r="15">
      <c r="A15" s="3" t="inlineStr">
        <is>
          <t>The order to work in</t>
        </is>
      </c>
    </row>
    <row r="16" ht="30" customHeight="1">
      <c r="A16" s="2" t="inlineStr">
        <is>
          <t>1.  Design sheet: strain, drug, concentrations, the three target inocula, the plated volumes, and the tolerance-class thresholds you will score against.</t>
        </is>
      </c>
    </row>
    <row r="17" ht="30" customHeight="1">
      <c r="A17" s="2" t="inlineStr">
        <is>
          <t>2.  Prediction sheet: read it, and check you are willing to be held to it. It follows from the Design sheet alone.</t>
        </is>
      </c>
    </row>
    <row r="18" ht="30" customHeight="1">
      <c r="A18" s="2" t="inlineStr">
        <is>
          <t>3.  Counts sheet: one row per plate. Enter colonies counted, the dilution and the volume plated; CFU/mL and the below-floor flag compute themselves.</t>
        </is>
      </c>
    </row>
    <row r="19" ht="30" customHeight="1">
      <c r="A19" s="2" t="inlineStr">
        <is>
          <t>4.  Day 0 check: confirm the realised N0 is close to the target. If it is not, the design still works -- the boundaries use the realised value -- but record what you actually got.</t>
        </is>
      </c>
    </row>
    <row r="20" ht="30" customHeight="1">
      <c r="A20" s="2" t="inlineStr">
        <is>
          <t>5.  When the counts are complete, hand the file back and the analysis runs against the predictions already written down.</t>
        </is>
      </c>
    </row>
    <row r="22">
      <c r="A22" s="3" t="inlineStr">
        <is>
          <t>What would refute the claim</t>
        </is>
      </c>
    </row>
    <row r="23" ht="30" customHeight="1">
      <c r="A23" s="2" t="inlineStr">
        <is>
          <t xml:space="preserve">   If low-seeded and high-seeded cultures return the SAME reported surviving fraction at the deep endpoint, the boundary is wrong.</t>
        </is>
      </c>
    </row>
    <row r="24" ht="45" customHeight="1">
      <c r="A24" s="2" t="inlineStr">
        <is>
          <t xml:space="preserve">   If the tolerance class assigned from the 100 uL plating agrees with the class from the 10 uL plating in every floor-censored sample, the identifiability boundary does not bite at these settings.</t>
        </is>
      </c>
    </row>
    <row r="25" ht="30" customHeight="1">
      <c r="A25" s="2" t="inlineStr">
        <is>
          <t xml:space="preserve">   Both are recorded as outcomes, not as failures. A boundary that can be refuted and is not is worth more than one that cannot 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cols>
    <col width="34" customWidth="1" min="1" max="1"/>
    <col width="18" customWidth="1" min="2" max="2"/>
    <col width="18" customWidth="1" min="3" max="3"/>
    <col width="62" customWidth="1" min="4" max="4"/>
  </cols>
  <sheetData>
    <row r="1">
      <c r="A1" s="1" t="inlineStr">
        <is>
          <t>Design — fill this in BEFORE any counting</t>
        </is>
      </c>
    </row>
    <row r="3" ht="30" customHeight="1">
      <c r="A3" s="4" t="inlineStr">
        <is>
          <t>What</t>
        </is>
      </c>
      <c r="B3" s="4" t="inlineStr">
        <is>
          <t>Value</t>
        </is>
      </c>
      <c r="C3" s="4" t="inlineStr">
        <is>
          <t>Unit</t>
        </is>
      </c>
      <c r="D3" s="4" t="inlineStr">
        <is>
          <t>Note</t>
        </is>
      </c>
    </row>
    <row r="4">
      <c r="A4" s="5" t="inlineStr">
        <is>
          <t>Strain</t>
        </is>
      </c>
      <c r="B4" s="6" t="inlineStr">
        <is>
          <t>Escherichia coli ATCC 25922</t>
        </is>
      </c>
      <c r="C4" s="7" t="inlineStr"/>
      <c r="D4" s="8" t="inlineStr">
        <is>
          <t>the CLSI quality-control reference strain: the one the standard itself names</t>
        </is>
      </c>
    </row>
    <row r="5">
      <c r="A5" s="5" t="inlineStr">
        <is>
          <t>Drug</t>
        </is>
      </c>
      <c r="B5" s="6" t="inlineStr">
        <is>
          <t>ciprofloxacin</t>
        </is>
      </c>
      <c r="C5" s="7" t="inlineStr"/>
      <c r="D5" s="8" t="inlineStr">
        <is>
          <t>kills deeply and fast, so the floor is reached within hours</t>
        </is>
      </c>
    </row>
    <row r="6">
      <c r="A6" s="5" t="inlineStr">
        <is>
          <t>Concentration tested</t>
        </is>
      </c>
      <c r="B6" s="6" t="inlineStr">
        <is>
          <t>10</t>
        </is>
      </c>
      <c r="C6" s="7" t="inlineStr">
        <is>
          <t>x MIC</t>
        </is>
      </c>
      <c r="D6" s="8" t="inlineStr">
        <is>
          <t>deep enough to reach the floor in every arm</t>
        </is>
      </c>
    </row>
    <row r="7">
      <c r="A7" s="5" t="inlineStr">
        <is>
          <t>MIC of this strain</t>
        </is>
      </c>
      <c r="B7" s="6" t="inlineStr"/>
      <c r="C7" s="7" t="inlineStr">
        <is>
          <t>mg/L</t>
        </is>
      </c>
      <c r="D7" s="8" t="inlineStr">
        <is>
          <t>measure it; do not take it from a table</t>
        </is>
      </c>
    </row>
    <row r="8">
      <c r="A8" s="5" t="inlineStr">
        <is>
          <t>Sampling times</t>
        </is>
      </c>
      <c r="B8" s="6" t="inlineStr">
        <is>
          <t>0, 1, 2, 4, 6, 24</t>
        </is>
      </c>
      <c r="C8" s="7" t="inlineStr">
        <is>
          <t>hours</t>
        </is>
      </c>
      <c r="D8" s="8" t="inlineStr">
        <is>
          <t>hour 0 is essential: it is N0. E. coli, so hours not days</t>
        </is>
      </c>
    </row>
    <row r="9">
      <c r="A9" s="5" t="inlineStr">
        <is>
          <t>Biological replicates per arm</t>
        </is>
      </c>
      <c r="B9" s="6" t="inlineStr">
        <is>
          <t>3</t>
        </is>
      </c>
      <c r="C9" s="7" t="inlineStr">
        <is>
          <t>flasks</t>
        </is>
      </c>
      <c r="D9" s="8" t="inlineStr">
        <is>
          <t>three is the minimum that gives a spread</t>
        </is>
      </c>
    </row>
    <row r="10">
      <c r="A10" s="5" t="inlineStr">
        <is>
          <t>Technical plates per sample</t>
        </is>
      </c>
      <c r="B10" s="6" t="inlineStr">
        <is>
          <t>2</t>
        </is>
      </c>
      <c r="C10" s="7" t="inlineStr">
        <is>
          <t>plates</t>
        </is>
      </c>
      <c r="D10" s="8" t="inlineStr">
        <is>
          <t>per plated volume</t>
        </is>
      </c>
    </row>
    <row r="11">
      <c r="A11" s="5" t="inlineStr"/>
      <c r="B11" s="9" t="inlineStr"/>
      <c r="C11" s="7" t="inlineStr"/>
      <c r="D11" s="8" t="inlineStr"/>
    </row>
    <row r="12">
      <c r="A12" s="3" t="inlineStr">
        <is>
          <t>PLATED VOLUME A</t>
        </is>
      </c>
      <c r="B12" s="6" t="inlineStr">
        <is>
          <t>100</t>
        </is>
      </c>
      <c r="C12" s="7" t="inlineStr">
        <is>
          <t>uL</t>
        </is>
      </c>
      <c r="D12" s="8" t="inlineStr">
        <is>
          <t>the sensitive plating</t>
        </is>
      </c>
    </row>
    <row r="13">
      <c r="A13" s="3" t="inlineStr">
        <is>
          <t>PLATED VOLUME B</t>
        </is>
      </c>
      <c r="B13" s="6" t="inlineStr">
        <is>
          <t>10</t>
        </is>
      </c>
      <c r="C13" s="7" t="inlineStr">
        <is>
          <t>uL</t>
        </is>
      </c>
      <c r="D13" s="8" t="inlineStr">
        <is>
          <t>the insensitive plating — same sample, higher floor</t>
        </is>
      </c>
    </row>
    <row r="14">
      <c r="A14" s="5" t="inlineStr"/>
      <c r="B14" s="9" t="inlineStr"/>
      <c r="C14" s="7" t="inlineStr"/>
      <c r="D14" s="8" t="inlineStr"/>
    </row>
    <row r="15">
      <c r="A15" s="5" t="inlineStr">
        <is>
          <t>Target inoculum LOW</t>
        </is>
      </c>
      <c r="B15" s="6" t="inlineStr">
        <is>
          <t>50000</t>
        </is>
      </c>
      <c r="C15" s="7" t="inlineStr">
        <is>
          <t>CFU/mL</t>
        </is>
      </c>
      <c r="D15" s="8" t="inlineStr">
        <is>
          <t>5e4: h = 3.7 at 100 uL and 2.7 at 10 uL, so a 4-log call is IMPOSSIBLE either way</t>
        </is>
      </c>
    </row>
    <row r="16">
      <c r="A16" s="5" t="inlineStr">
        <is>
          <t>Target inoculum MID</t>
        </is>
      </c>
      <c r="B16" s="6" t="inlineStr">
        <is>
          <t>500000</t>
        </is>
      </c>
      <c r="C16" s="7" t="inlineStr">
        <is>
          <t>CFU/mL</t>
        </is>
      </c>
      <c r="D16" s="8" t="inlineStr">
        <is>
          <t>5e5, the CLSI standard inoculum: h = 4.7 at 100 uL but 3.7 at 10 uL. It STRADDLES</t>
        </is>
      </c>
    </row>
    <row r="17">
      <c r="A17" s="5" t="inlineStr">
        <is>
          <t>Target inoculum HIGH</t>
        </is>
      </c>
      <c r="B17" s="6" t="inlineStr">
        <is>
          <t>5000000</t>
        </is>
      </c>
      <c r="C17" s="7" t="inlineStr">
        <is>
          <t>CFU/mL</t>
        </is>
      </c>
      <c r="D17" s="8" t="inlineStr">
        <is>
          <t>5e6: h = 5.7 and 4.7, so a 4-log call is legal either way</t>
        </is>
      </c>
    </row>
    <row r="18">
      <c r="A18" s="5" t="inlineStr"/>
      <c r="B18" s="9" t="inlineStr"/>
      <c r="C18" s="7" t="inlineStr"/>
      <c r="D18" s="8" t="inlineStr"/>
    </row>
    <row r="19">
      <c r="A19" s="5" t="inlineStr">
        <is>
          <t>Lowest class threshold c1</t>
        </is>
      </c>
      <c r="B19" s="6" t="inlineStr">
        <is>
          <t>0.001</t>
        </is>
      </c>
      <c r="C19" s="7" t="inlineStr">
        <is>
          <t>fraction</t>
        </is>
      </c>
      <c r="D19" s="8" t="inlineStr">
        <is>
          <t>e.g. 10^-3: below this the call is 'low tolerance'</t>
        </is>
      </c>
    </row>
    <row r="20">
      <c r="A20" s="5" t="inlineStr">
        <is>
          <t>Middle class threshold c2</t>
        </is>
      </c>
      <c r="B20" s="6" t="inlineStr">
        <is>
          <t>0.01</t>
        </is>
      </c>
      <c r="C20" s="7" t="inlineStr">
        <is>
          <t>fraction</t>
        </is>
      </c>
      <c r="D20" s="8" t="inlineStr">
        <is>
          <t>e.g. 10^-2</t>
        </is>
      </c>
    </row>
    <row r="21">
      <c r="A21" s="5" t="inlineStr">
        <is>
          <t>Deepest endpoint scored q</t>
        </is>
      </c>
      <c r="B21" s="6" t="inlineStr">
        <is>
          <t>4</t>
        </is>
      </c>
      <c r="C21" s="7" t="inlineStr">
        <is>
          <t>logs</t>
        </is>
      </c>
      <c r="D21" s="8" t="inlineStr">
        <is>
          <t>4 = a 99.99% reduction</t>
        </is>
      </c>
    </row>
    <row r="23">
      <c r="A23" s="3" t="inlineStr">
        <is>
          <t>What those choices imply — computed, do not edit</t>
        </is>
      </c>
    </row>
    <row r="24" ht="30" customHeight="1">
      <c r="A24" s="4" t="inlineStr">
        <is>
          <t>Quantity</t>
        </is>
      </c>
      <c r="B24" s="4" t="inlineStr">
        <is>
          <t>Plating A (100 uL)</t>
        </is>
      </c>
      <c r="C24" s="4" t="inlineStr">
        <is>
          <t>Plating B (10 uL)</t>
        </is>
      </c>
      <c r="D24" s="4" t="inlineStr">
        <is>
          <t>Meaning</t>
        </is>
      </c>
    </row>
    <row r="25">
      <c r="A25" s="5" t="inlineStr">
        <is>
          <t>Assay floor L = 1000 / volume</t>
        </is>
      </c>
      <c r="B25" s="10">
        <f>IF(B12="","",1000/B12)</f>
        <v/>
      </c>
      <c r="C25" s="10">
        <f>IF(B13="","",1000/B13)</f>
        <v/>
      </c>
      <c r="D25" s="8" t="inlineStr">
        <is>
          <t>CFU/mL, one colony in the volume plated</t>
        </is>
      </c>
    </row>
    <row r="26">
      <c r="A26" s="5" t="inlineStr">
        <is>
          <t>Seed needed for a q-log call, L*10^q</t>
        </is>
      </c>
      <c r="B26" s="10">
        <f>IF(B12="","",(1000/B12)*10^B21)</f>
        <v/>
      </c>
      <c r="C26" s="10">
        <f>IF(B13="","",(1000/B13)*10^B21)</f>
        <v/>
      </c>
      <c r="D26" s="8" t="inlineStr">
        <is>
          <t>the reachability boundary: below this the endpoint cannot be observed</t>
        </is>
      </c>
    </row>
    <row r="27">
      <c r="A27" s="5" t="inlineStr">
        <is>
          <t>Identifiability boundary L/c1</t>
        </is>
      </c>
      <c r="B27" s="10">
        <f>IF(OR(B12="",B19=""),"",(1000/B12)/B19)</f>
        <v/>
      </c>
      <c r="C27" s="10">
        <f>IF(OR(B13="",B19=""),"",(1000/B13)/B19)</f>
        <v/>
      </c>
      <c r="D27" s="8" t="inlineStr">
        <is>
          <t>above this, a floored reading can only be called lowest class</t>
        </is>
      </c>
    </row>
    <row r="28">
      <c r="A28" s="5" t="inlineStr">
        <is>
          <t>Headroom h at LOW inoculum</t>
        </is>
      </c>
      <c r="B28" s="10">
        <f>IF(OR(B15="",B12=""),"",LOG10(B15/(1000/B12)))</f>
        <v/>
      </c>
      <c r="C28" s="10">
        <f>IF(OR(B15="",B13=""),"",LOG10(B15/(1000/B13)))</f>
        <v/>
      </c>
      <c r="D28" s="8" t="inlineStr">
        <is>
          <t>log10(N0/L); the deepest endpoint this culture could ever show</t>
        </is>
      </c>
    </row>
    <row r="29">
      <c r="A29" s="5" t="inlineStr">
        <is>
          <t>Headroom h at MID inoculum</t>
        </is>
      </c>
      <c r="B29" s="10">
        <f>IF(OR(B16="",B12=""),"",LOG10(B16/(1000/B12)))</f>
        <v/>
      </c>
      <c r="C29" s="10">
        <f>IF(OR(B16="",B13=""),"",LOG10(B16/(1000/B13)))</f>
        <v/>
      </c>
      <c r="D29" s="8" t="inlineStr"/>
    </row>
    <row r="30">
      <c r="A30" s="5" t="inlineStr">
        <is>
          <t>Headroom h at HIGH inoculum</t>
        </is>
      </c>
      <c r="B30" s="10">
        <f>IF(OR(B17="",B12=""),"",LOG10(B17/(1000/B12)))</f>
        <v/>
      </c>
      <c r="C30" s="10">
        <f>IF(OR(B17="",B13=""),"",LOG10(B17/(1000/B13)))</f>
        <v/>
      </c>
      <c r="D30" s="8" t="inlineStr"/>
    </row>
    <row r="32">
      <c r="A32" s="3" t="inlineStr">
        <is>
          <t>Is a q-log call legal? — the prediction, in one row</t>
        </is>
      </c>
    </row>
    <row r="33" ht="30" customHeight="1">
      <c r="A33" s="4" t="inlineStr">
        <is>
          <t>Inoculum</t>
        </is>
      </c>
      <c r="B33" s="4" t="inlineStr">
        <is>
          <t>Plating A (100 uL)</t>
        </is>
      </c>
      <c r="C33" s="4" t="inlineStr">
        <is>
          <t>Plating B (10 uL)</t>
        </is>
      </c>
      <c r="D33" s="4" t="inlineStr">
        <is>
          <t>If these disagree, the floor decided the label, not the drug</t>
        </is>
      </c>
    </row>
    <row r="34">
      <c r="A34" s="5" t="inlineStr">
        <is>
          <t>LOW</t>
        </is>
      </c>
      <c r="B34" s="11">
        <f>IF(B28="","",IF(B28&gt;=B21,"legal","IMPOSSIBLE"))</f>
        <v/>
      </c>
      <c r="C34" s="11">
        <f>IF(C28="","",IF(C28&gt;=B21,"legal","IMPOSSIBLE"))</f>
        <v/>
      </c>
    </row>
    <row r="35">
      <c r="A35" s="5" t="inlineStr">
        <is>
          <t>MID</t>
        </is>
      </c>
      <c r="B35" s="11">
        <f>IF(B29="","",IF(B29&gt;=B21,"legal","IMPOSSIBLE"))</f>
        <v/>
      </c>
      <c r="C35" s="11">
        <f>IF(C29="","",IF(C29&gt;=B21,"legal","IMPOSSIBLE"))</f>
        <v/>
      </c>
    </row>
    <row r="36">
      <c r="A36" s="5" t="inlineStr">
        <is>
          <t>HIGH</t>
        </is>
      </c>
      <c r="B36" s="11">
        <f>IF(B30="","",IF(B30&gt;=B21,"legal","IMPOSSIBLE"))</f>
        <v/>
      </c>
      <c r="C36" s="11">
        <f>IF(C30="","",IF(C30&gt;=B21,"legal","IMPOSSIBLE"))</f>
        <v/>
      </c>
    </row>
    <row r="38">
      <c r="A38" s="8" t="inlineStr">
        <is>
          <t>An 'IMPOSSIBLE' cell is the whole experiment: that culture cannot report the endpoint no matter how completely the drug works, and any tolerance call made from it is a reading of the inoculum and the pipette.</t>
        </is>
      </c>
    </row>
  </sheetData>
  <mergeCells count="1">
    <mergeCell ref="A38:H3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108" customWidth="1" min="1" max="1"/>
    <col width="26" customWidth="1" min="2" max="2"/>
  </cols>
  <sheetData>
    <row r="1">
      <c r="A1" s="1" t="inlineStr">
        <is>
          <t>What is predicted, before any count exists</t>
        </is>
      </c>
    </row>
    <row r="3" ht="30" customHeight="1">
      <c r="A3" s="2" t="inlineStr">
        <is>
          <t>Written from the Design sheet alone. Nothing here depends on a result, and nothing here should be edited once counting starts.</t>
        </is>
      </c>
    </row>
    <row r="4">
      <c r="A4" s="2" t="inlineStr"/>
    </row>
    <row r="5" ht="45" customHeight="1">
      <c r="A5" s="2" t="inlineStr">
        <is>
          <t>1.  At the LOW inoculum, the deepest reduction that can be reported is the headroom h shown on the Design sheet, not the reduction the drug achieves. If h &lt; q, no q-log call is possible in that arm, and every fully killed culture in it will read at the floor rather than below it.</t>
        </is>
      </c>
    </row>
    <row r="6">
      <c r="A6" s="2" t="inlineStr"/>
    </row>
    <row r="7" ht="60" customHeight="1">
      <c r="A7" s="2" t="inlineStr">
        <is>
          <t>2.  For any sample whose count lands on the floor, the reported surviving fraction is L/N0 and nothing else. Two flasks killed to different true depths report the same fraction; two flasks killed identically but seeded differently report different fractions. The reported fraction therefore tracks the inoculum, not the killing.</t>
        </is>
      </c>
    </row>
    <row r="8">
      <c r="A8" s="2" t="inlineStr"/>
    </row>
    <row r="9" ht="60" customHeight="1">
      <c r="A9" s="2" t="inlineStr">
        <is>
          <t>3.  The same sample plated at 100 uL and at 10 uL has two different floors and therefore two different reported fractions whenever the count is at or near the floor. Where the two platings straddle a class threshold, the SAME CULTURE receives two different tolerance labels. There is one culture, so the difference is not biology.</t>
        </is>
      </c>
    </row>
    <row r="10">
      <c r="A10" s="2" t="inlineStr"/>
    </row>
    <row r="11" ht="45" customHeight="1">
      <c r="A11" s="2" t="inlineStr">
        <is>
          <t>4.  Above the identifiability boundary L/c1, a floored reading is compatible with the lowest class only. The label is then fixed by the seeding and the plated volume before the drug is added.</t>
        </is>
      </c>
    </row>
    <row r="12">
      <c r="A12" s="2" t="inlineStr"/>
    </row>
    <row r="13" ht="60" customHeight="1">
      <c r="A13" s="2" t="inlineStr">
        <is>
          <t>WHAT WOULD REFUTE EACH. (1) fails if the low arm reports a q-log reduction. (2) fails if floored samples report fractions that track measured killing rather than N0. (3) fails if the two platings agree on every floored sample. (4) fails if a floored sample above L/c1 is compatible with more than one class under the stated thresholds.</t>
        </is>
      </c>
    </row>
    <row r="14">
      <c r="A14" s="2" t="inlineStr"/>
    </row>
    <row r="15" ht="15" customHeight="1">
      <c r="A15" s="2" t="inlineStr">
        <is>
          <t>Signed, and dated before the first plate was counted:</t>
        </is>
      </c>
    </row>
    <row r="17">
      <c r="A17" s="3" t="inlineStr">
        <is>
          <t>Name</t>
        </is>
      </c>
      <c r="B17" s="12" t="n"/>
    </row>
    <row r="19">
      <c r="A19" s="3" t="inlineStr">
        <is>
          <t>Date</t>
        </is>
      </c>
      <c r="B19" s="1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44"/>
  <sheetViews>
    <sheetView workbookViewId="0">
      <pane ySplit="4" topLeftCell="A5" activePane="bottomLeft" state="frozen"/>
      <selection pane="bottomLeft" activeCell="A1" sqref="A1"/>
    </sheetView>
  </sheetViews>
  <sheetFormatPr baseColWidth="8" defaultRowHeight="15"/>
  <cols>
    <col width="16" customWidth="1" min="1" max="1"/>
    <col width="14" customWidth="1" min="2" max="2"/>
    <col width="14" customWidth="1" min="3" max="3"/>
    <col width="7" customWidth="1" min="4" max="4"/>
    <col width="14" customWidth="1" min="5" max="5"/>
    <col width="16" customWidth="1" min="6" max="6"/>
    <col width="14" customWidth="1" min="7" max="7"/>
    <col width="22" customWidth="1" min="8" max="8"/>
    <col width="14" customWidth="1" min="9" max="9"/>
    <col width="16" customWidth="1" min="10" max="10"/>
    <col width="14" customWidth="1" min="11" max="11"/>
    <col width="13" customWidth="1" min="12" max="12"/>
  </cols>
  <sheetData>
    <row r="1">
      <c r="A1" s="1" t="inlineStr">
        <is>
          <t>Counts — one row per plate</t>
        </is>
      </c>
    </row>
    <row r="2">
      <c r="A2" s="8" t="inlineStr">
        <is>
          <t>Yellow columns are entry. Blue columns compute. Leave 'colonies' empty only if the plate was not read; enter 0 for a genuinely blank plate, which is not the same thing.</t>
        </is>
      </c>
    </row>
    <row r="4" ht="30" customHeight="1">
      <c r="A4" s="4" t="inlineStr">
        <is>
          <t>Arm (inoculum)</t>
        </is>
      </c>
      <c r="B4" s="4" t="inlineStr">
        <is>
          <t>Drug conc (x MIC)</t>
        </is>
      </c>
      <c r="C4" s="4" t="inlineStr">
        <is>
          <t>Flask / replicate</t>
        </is>
      </c>
      <c r="D4" s="4" t="inlineStr">
        <is>
          <t>Day</t>
        </is>
      </c>
      <c r="E4" s="4" t="inlineStr">
        <is>
          <t>Plated volume (uL)</t>
        </is>
      </c>
      <c r="F4" s="4" t="inlineStr">
        <is>
          <t>Dilution factor (1 = neat)</t>
        </is>
      </c>
      <c r="G4" s="4" t="inlineStr">
        <is>
          <t>Colonies counted</t>
        </is>
      </c>
      <c r="H4" s="4" t="inlineStr">
        <is>
          <t>Plate note</t>
        </is>
      </c>
      <c r="I4" s="4" t="inlineStr">
        <is>
          <t>CFU/mL</t>
        </is>
      </c>
      <c r="J4" s="4" t="inlineStr">
        <is>
          <t>Floor L for this plating</t>
        </is>
      </c>
      <c r="K4" s="4" t="inlineStr">
        <is>
          <t>At or below floor?</t>
        </is>
      </c>
      <c r="L4" s="4" t="inlineStr">
        <is>
          <t>log10 CFU/mL</t>
        </is>
      </c>
    </row>
    <row r="5">
      <c r="A5" s="6" t="n"/>
      <c r="B5" s="6" t="n"/>
      <c r="C5" s="6" t="n"/>
      <c r="D5" s="6" t="n"/>
      <c r="E5" s="6" t="n"/>
      <c r="F5" s="6" t="n"/>
      <c r="G5" s="6" t="n"/>
      <c r="H5" s="6" t="n"/>
      <c r="I5" s="10">
        <f>IF(OR(G5="",E5="",F5=""),"",G5*F5*1000/E5)</f>
        <v/>
      </c>
      <c r="J5" s="10">
        <f>IF(E5="","",1000/E5)</f>
        <v/>
      </c>
      <c r="K5" s="13">
        <f>IF(OR(I5="",J5=""),"",IF(I5&lt;=J5,"YES","no"))</f>
        <v/>
      </c>
      <c r="L5" s="10">
        <f>IF(OR(I5="",I5&lt;=0),"",LOG10(I5))</f>
        <v/>
      </c>
    </row>
    <row r="6">
      <c r="A6" s="6" t="n"/>
      <c r="B6" s="6" t="n"/>
      <c r="C6" s="6" t="n"/>
      <c r="D6" s="6" t="n"/>
      <c r="E6" s="6" t="n"/>
      <c r="F6" s="6" t="n"/>
      <c r="G6" s="6" t="n"/>
      <c r="H6" s="6" t="n"/>
      <c r="I6" s="10">
        <f>IF(OR(G6="",E6="",F6=""),"",G6*F6*1000/E6)</f>
        <v/>
      </c>
      <c r="J6" s="10">
        <f>IF(E6="","",1000/E6)</f>
        <v/>
      </c>
      <c r="K6" s="13">
        <f>IF(OR(I6="",J6=""),"",IF(I6&lt;=J6,"YES","no"))</f>
        <v/>
      </c>
      <c r="L6" s="10">
        <f>IF(OR(I6="",I6&lt;=0),"",LOG10(I6))</f>
        <v/>
      </c>
    </row>
    <row r="7">
      <c r="A7" s="6" t="n"/>
      <c r="B7" s="6" t="n"/>
      <c r="C7" s="6" t="n"/>
      <c r="D7" s="6" t="n"/>
      <c r="E7" s="6" t="n"/>
      <c r="F7" s="6" t="n"/>
      <c r="G7" s="6" t="n"/>
      <c r="H7" s="6" t="n"/>
      <c r="I7" s="10">
        <f>IF(OR(G7="",E7="",F7=""),"",G7*F7*1000/E7)</f>
        <v/>
      </c>
      <c r="J7" s="10">
        <f>IF(E7="","",1000/E7)</f>
        <v/>
      </c>
      <c r="K7" s="13">
        <f>IF(OR(I7="",J7=""),"",IF(I7&lt;=J7,"YES","no"))</f>
        <v/>
      </c>
      <c r="L7" s="10">
        <f>IF(OR(I7="",I7&lt;=0),"",LOG10(I7))</f>
        <v/>
      </c>
    </row>
    <row r="8">
      <c r="A8" s="6" t="n"/>
      <c r="B8" s="6" t="n"/>
      <c r="C8" s="6" t="n"/>
      <c r="D8" s="6" t="n"/>
      <c r="E8" s="6" t="n"/>
      <c r="F8" s="6" t="n"/>
      <c r="G8" s="6" t="n"/>
      <c r="H8" s="6" t="n"/>
      <c r="I8" s="10">
        <f>IF(OR(G8="",E8="",F8=""),"",G8*F8*1000/E8)</f>
        <v/>
      </c>
      <c r="J8" s="10">
        <f>IF(E8="","",1000/E8)</f>
        <v/>
      </c>
      <c r="K8" s="13">
        <f>IF(OR(I8="",J8=""),"",IF(I8&lt;=J8,"YES","no"))</f>
        <v/>
      </c>
      <c r="L8" s="10">
        <f>IF(OR(I8="",I8&lt;=0),"",LOG10(I8))</f>
        <v/>
      </c>
    </row>
    <row r="9">
      <c r="A9" s="6" t="n"/>
      <c r="B9" s="6" t="n"/>
      <c r="C9" s="6" t="n"/>
      <c r="D9" s="6" t="n"/>
      <c r="E9" s="6" t="n"/>
      <c r="F9" s="6" t="n"/>
      <c r="G9" s="6" t="n"/>
      <c r="H9" s="6" t="n"/>
      <c r="I9" s="10">
        <f>IF(OR(G9="",E9="",F9=""),"",G9*F9*1000/E9)</f>
        <v/>
      </c>
      <c r="J9" s="10">
        <f>IF(E9="","",1000/E9)</f>
        <v/>
      </c>
      <c r="K9" s="13">
        <f>IF(OR(I9="",J9=""),"",IF(I9&lt;=J9,"YES","no"))</f>
        <v/>
      </c>
      <c r="L9" s="10">
        <f>IF(OR(I9="",I9&lt;=0),"",LOG10(I9))</f>
        <v/>
      </c>
    </row>
    <row r="10">
      <c r="A10" s="6" t="n"/>
      <c r="B10" s="6" t="n"/>
      <c r="C10" s="6" t="n"/>
      <c r="D10" s="6" t="n"/>
      <c r="E10" s="6" t="n"/>
      <c r="F10" s="6" t="n"/>
      <c r="G10" s="6" t="n"/>
      <c r="H10" s="6" t="n"/>
      <c r="I10" s="10">
        <f>IF(OR(G10="",E10="",F10=""),"",G10*F10*1000/E10)</f>
        <v/>
      </c>
      <c r="J10" s="10">
        <f>IF(E10="","",1000/E10)</f>
        <v/>
      </c>
      <c r="K10" s="13">
        <f>IF(OR(I10="",J10=""),"",IF(I10&lt;=J10,"YES","no"))</f>
        <v/>
      </c>
      <c r="L10" s="10">
        <f>IF(OR(I10="",I10&lt;=0),"",LOG10(I10))</f>
        <v/>
      </c>
    </row>
    <row r="11">
      <c r="A11" s="6" t="n"/>
      <c r="B11" s="6" t="n"/>
      <c r="C11" s="6" t="n"/>
      <c r="D11" s="6" t="n"/>
      <c r="E11" s="6" t="n"/>
      <c r="F11" s="6" t="n"/>
      <c r="G11" s="6" t="n"/>
      <c r="H11" s="6" t="n"/>
      <c r="I11" s="10">
        <f>IF(OR(G11="",E11="",F11=""),"",G11*F11*1000/E11)</f>
        <v/>
      </c>
      <c r="J11" s="10">
        <f>IF(E11="","",1000/E11)</f>
        <v/>
      </c>
      <c r="K11" s="13">
        <f>IF(OR(I11="",J11=""),"",IF(I11&lt;=J11,"YES","no"))</f>
        <v/>
      </c>
      <c r="L11" s="10">
        <f>IF(OR(I11="",I11&lt;=0),"",LOG10(I11))</f>
        <v/>
      </c>
    </row>
    <row r="12">
      <c r="A12" s="6" t="n"/>
      <c r="B12" s="6" t="n"/>
      <c r="C12" s="6" t="n"/>
      <c r="D12" s="6" t="n"/>
      <c r="E12" s="6" t="n"/>
      <c r="F12" s="6" t="n"/>
      <c r="G12" s="6" t="n"/>
      <c r="H12" s="6" t="n"/>
      <c r="I12" s="10">
        <f>IF(OR(G12="",E12="",F12=""),"",G12*F12*1000/E12)</f>
        <v/>
      </c>
      <c r="J12" s="10">
        <f>IF(E12="","",1000/E12)</f>
        <v/>
      </c>
      <c r="K12" s="13">
        <f>IF(OR(I12="",J12=""),"",IF(I12&lt;=J12,"YES","no"))</f>
        <v/>
      </c>
      <c r="L12" s="10">
        <f>IF(OR(I12="",I12&lt;=0),"",LOG10(I12))</f>
        <v/>
      </c>
    </row>
    <row r="13">
      <c r="A13" s="6" t="n"/>
      <c r="B13" s="6" t="n"/>
      <c r="C13" s="6" t="n"/>
      <c r="D13" s="6" t="n"/>
      <c r="E13" s="6" t="n"/>
      <c r="F13" s="6" t="n"/>
      <c r="G13" s="6" t="n"/>
      <c r="H13" s="6" t="n"/>
      <c r="I13" s="10">
        <f>IF(OR(G13="",E13="",F13=""),"",G13*F13*1000/E13)</f>
        <v/>
      </c>
      <c r="J13" s="10">
        <f>IF(E13="","",1000/E13)</f>
        <v/>
      </c>
      <c r="K13" s="13">
        <f>IF(OR(I13="",J13=""),"",IF(I13&lt;=J13,"YES","no"))</f>
        <v/>
      </c>
      <c r="L13" s="10">
        <f>IF(OR(I13="",I13&lt;=0),"",LOG10(I13))</f>
        <v/>
      </c>
    </row>
    <row r="14">
      <c r="A14" s="6" t="n"/>
      <c r="B14" s="6" t="n"/>
      <c r="C14" s="6" t="n"/>
      <c r="D14" s="6" t="n"/>
      <c r="E14" s="6" t="n"/>
      <c r="F14" s="6" t="n"/>
      <c r="G14" s="6" t="n"/>
      <c r="H14" s="6" t="n"/>
      <c r="I14" s="10">
        <f>IF(OR(G14="",E14="",F14=""),"",G14*F14*1000/E14)</f>
        <v/>
      </c>
      <c r="J14" s="10">
        <f>IF(E14="","",1000/E14)</f>
        <v/>
      </c>
      <c r="K14" s="13">
        <f>IF(OR(I14="",J14=""),"",IF(I14&lt;=J14,"YES","no"))</f>
        <v/>
      </c>
      <c r="L14" s="10">
        <f>IF(OR(I14="",I14&lt;=0),"",LOG10(I14))</f>
        <v/>
      </c>
    </row>
    <row r="15">
      <c r="A15" s="6" t="n"/>
      <c r="B15" s="6" t="n"/>
      <c r="C15" s="6" t="n"/>
      <c r="D15" s="6" t="n"/>
      <c r="E15" s="6" t="n"/>
      <c r="F15" s="6" t="n"/>
      <c r="G15" s="6" t="n"/>
      <c r="H15" s="6" t="n"/>
      <c r="I15" s="10">
        <f>IF(OR(G15="",E15="",F15=""),"",G15*F15*1000/E15)</f>
        <v/>
      </c>
      <c r="J15" s="10">
        <f>IF(E15="","",1000/E15)</f>
        <v/>
      </c>
      <c r="K15" s="13">
        <f>IF(OR(I15="",J15=""),"",IF(I15&lt;=J15,"YES","no"))</f>
        <v/>
      </c>
      <c r="L15" s="10">
        <f>IF(OR(I15="",I15&lt;=0),"",LOG10(I15))</f>
        <v/>
      </c>
    </row>
    <row r="16">
      <c r="A16" s="6" t="n"/>
      <c r="B16" s="6" t="n"/>
      <c r="C16" s="6" t="n"/>
      <c r="D16" s="6" t="n"/>
      <c r="E16" s="6" t="n"/>
      <c r="F16" s="6" t="n"/>
      <c r="G16" s="6" t="n"/>
      <c r="H16" s="6" t="n"/>
      <c r="I16" s="10">
        <f>IF(OR(G16="",E16="",F16=""),"",G16*F16*1000/E16)</f>
        <v/>
      </c>
      <c r="J16" s="10">
        <f>IF(E16="","",1000/E16)</f>
        <v/>
      </c>
      <c r="K16" s="13">
        <f>IF(OR(I16="",J16=""),"",IF(I16&lt;=J16,"YES","no"))</f>
        <v/>
      </c>
      <c r="L16" s="10">
        <f>IF(OR(I16="",I16&lt;=0),"",LOG10(I16))</f>
        <v/>
      </c>
    </row>
    <row r="17">
      <c r="A17" s="6" t="n"/>
      <c r="B17" s="6" t="n"/>
      <c r="C17" s="6" t="n"/>
      <c r="D17" s="6" t="n"/>
      <c r="E17" s="6" t="n"/>
      <c r="F17" s="6" t="n"/>
      <c r="G17" s="6" t="n"/>
      <c r="H17" s="6" t="n"/>
      <c r="I17" s="10">
        <f>IF(OR(G17="",E17="",F17=""),"",G17*F17*1000/E17)</f>
        <v/>
      </c>
      <c r="J17" s="10">
        <f>IF(E17="","",1000/E17)</f>
        <v/>
      </c>
      <c r="K17" s="13">
        <f>IF(OR(I17="",J17=""),"",IF(I17&lt;=J17,"YES","no"))</f>
        <v/>
      </c>
      <c r="L17" s="10">
        <f>IF(OR(I17="",I17&lt;=0),"",LOG10(I17))</f>
        <v/>
      </c>
    </row>
    <row r="18">
      <c r="A18" s="6" t="n"/>
      <c r="B18" s="6" t="n"/>
      <c r="C18" s="6" t="n"/>
      <c r="D18" s="6" t="n"/>
      <c r="E18" s="6" t="n"/>
      <c r="F18" s="6" t="n"/>
      <c r="G18" s="6" t="n"/>
      <c r="H18" s="6" t="n"/>
      <c r="I18" s="10">
        <f>IF(OR(G18="",E18="",F18=""),"",G18*F18*1000/E18)</f>
        <v/>
      </c>
      <c r="J18" s="10">
        <f>IF(E18="","",1000/E18)</f>
        <v/>
      </c>
      <c r="K18" s="13">
        <f>IF(OR(I18="",J18=""),"",IF(I18&lt;=J18,"YES","no"))</f>
        <v/>
      </c>
      <c r="L18" s="10">
        <f>IF(OR(I18="",I18&lt;=0),"",LOG10(I18))</f>
        <v/>
      </c>
    </row>
    <row r="19">
      <c r="A19" s="6" t="n"/>
      <c r="B19" s="6" t="n"/>
      <c r="C19" s="6" t="n"/>
      <c r="D19" s="6" t="n"/>
      <c r="E19" s="6" t="n"/>
      <c r="F19" s="6" t="n"/>
      <c r="G19" s="6" t="n"/>
      <c r="H19" s="6" t="n"/>
      <c r="I19" s="10">
        <f>IF(OR(G19="",E19="",F19=""),"",G19*F19*1000/E19)</f>
        <v/>
      </c>
      <c r="J19" s="10">
        <f>IF(E19="","",1000/E19)</f>
        <v/>
      </c>
      <c r="K19" s="13">
        <f>IF(OR(I19="",J19=""),"",IF(I19&lt;=J19,"YES","no"))</f>
        <v/>
      </c>
      <c r="L19" s="10">
        <f>IF(OR(I19="",I19&lt;=0),"",LOG10(I19))</f>
        <v/>
      </c>
    </row>
    <row r="20">
      <c r="A20" s="6" t="n"/>
      <c r="B20" s="6" t="n"/>
      <c r="C20" s="6" t="n"/>
      <c r="D20" s="6" t="n"/>
      <c r="E20" s="6" t="n"/>
      <c r="F20" s="6" t="n"/>
      <c r="G20" s="6" t="n"/>
      <c r="H20" s="6" t="n"/>
      <c r="I20" s="10">
        <f>IF(OR(G20="",E20="",F20=""),"",G20*F20*1000/E20)</f>
        <v/>
      </c>
      <c r="J20" s="10">
        <f>IF(E20="","",1000/E20)</f>
        <v/>
      </c>
      <c r="K20" s="13">
        <f>IF(OR(I20="",J20=""),"",IF(I20&lt;=J20,"YES","no"))</f>
        <v/>
      </c>
      <c r="L20" s="10">
        <f>IF(OR(I20="",I20&lt;=0),"",LOG10(I20))</f>
        <v/>
      </c>
    </row>
    <row r="21">
      <c r="A21" s="6" t="n"/>
      <c r="B21" s="6" t="n"/>
      <c r="C21" s="6" t="n"/>
      <c r="D21" s="6" t="n"/>
      <c r="E21" s="6" t="n"/>
      <c r="F21" s="6" t="n"/>
      <c r="G21" s="6" t="n"/>
      <c r="H21" s="6" t="n"/>
      <c r="I21" s="10">
        <f>IF(OR(G21="",E21="",F21=""),"",G21*F21*1000/E21)</f>
        <v/>
      </c>
      <c r="J21" s="10">
        <f>IF(E21="","",1000/E21)</f>
        <v/>
      </c>
      <c r="K21" s="13">
        <f>IF(OR(I21="",J21=""),"",IF(I21&lt;=J21,"YES","no"))</f>
        <v/>
      </c>
      <c r="L21" s="10">
        <f>IF(OR(I21="",I21&lt;=0),"",LOG10(I21))</f>
        <v/>
      </c>
    </row>
    <row r="22">
      <c r="A22" s="6" t="n"/>
      <c r="B22" s="6" t="n"/>
      <c r="C22" s="6" t="n"/>
      <c r="D22" s="6" t="n"/>
      <c r="E22" s="6" t="n"/>
      <c r="F22" s="6" t="n"/>
      <c r="G22" s="6" t="n"/>
      <c r="H22" s="6" t="n"/>
      <c r="I22" s="10">
        <f>IF(OR(G22="",E22="",F22=""),"",G22*F22*1000/E22)</f>
        <v/>
      </c>
      <c r="J22" s="10">
        <f>IF(E22="","",1000/E22)</f>
        <v/>
      </c>
      <c r="K22" s="13">
        <f>IF(OR(I22="",J22=""),"",IF(I22&lt;=J22,"YES","no"))</f>
        <v/>
      </c>
      <c r="L22" s="10">
        <f>IF(OR(I22="",I22&lt;=0),"",LOG10(I22))</f>
        <v/>
      </c>
    </row>
    <row r="23">
      <c r="A23" s="6" t="n"/>
      <c r="B23" s="6" t="n"/>
      <c r="C23" s="6" t="n"/>
      <c r="D23" s="6" t="n"/>
      <c r="E23" s="6" t="n"/>
      <c r="F23" s="6" t="n"/>
      <c r="G23" s="6" t="n"/>
      <c r="H23" s="6" t="n"/>
      <c r="I23" s="10">
        <f>IF(OR(G23="",E23="",F23=""),"",G23*F23*1000/E23)</f>
        <v/>
      </c>
      <c r="J23" s="10">
        <f>IF(E23="","",1000/E23)</f>
        <v/>
      </c>
      <c r="K23" s="13">
        <f>IF(OR(I23="",J23=""),"",IF(I23&lt;=J23,"YES","no"))</f>
        <v/>
      </c>
      <c r="L23" s="10">
        <f>IF(OR(I23="",I23&lt;=0),"",LOG10(I23))</f>
        <v/>
      </c>
    </row>
    <row r="24">
      <c r="A24" s="6" t="n"/>
      <c r="B24" s="6" t="n"/>
      <c r="C24" s="6" t="n"/>
      <c r="D24" s="6" t="n"/>
      <c r="E24" s="6" t="n"/>
      <c r="F24" s="6" t="n"/>
      <c r="G24" s="6" t="n"/>
      <c r="H24" s="6" t="n"/>
      <c r="I24" s="10">
        <f>IF(OR(G24="",E24="",F24=""),"",G24*F24*1000/E24)</f>
        <v/>
      </c>
      <c r="J24" s="10">
        <f>IF(E24="","",1000/E24)</f>
        <v/>
      </c>
      <c r="K24" s="13">
        <f>IF(OR(I24="",J24=""),"",IF(I24&lt;=J24,"YES","no"))</f>
        <v/>
      </c>
      <c r="L24" s="10">
        <f>IF(OR(I24="",I24&lt;=0),"",LOG10(I24))</f>
        <v/>
      </c>
    </row>
    <row r="25">
      <c r="A25" s="6" t="n"/>
      <c r="B25" s="6" t="n"/>
      <c r="C25" s="6" t="n"/>
      <c r="D25" s="6" t="n"/>
      <c r="E25" s="6" t="n"/>
      <c r="F25" s="6" t="n"/>
      <c r="G25" s="6" t="n"/>
      <c r="H25" s="6" t="n"/>
      <c r="I25" s="10">
        <f>IF(OR(G25="",E25="",F25=""),"",G25*F25*1000/E25)</f>
        <v/>
      </c>
      <c r="J25" s="10">
        <f>IF(E25="","",1000/E25)</f>
        <v/>
      </c>
      <c r="K25" s="13">
        <f>IF(OR(I25="",J25=""),"",IF(I25&lt;=J25,"YES","no"))</f>
        <v/>
      </c>
      <c r="L25" s="10">
        <f>IF(OR(I25="",I25&lt;=0),"",LOG10(I25))</f>
        <v/>
      </c>
    </row>
    <row r="26">
      <c r="A26" s="6" t="n"/>
      <c r="B26" s="6" t="n"/>
      <c r="C26" s="6" t="n"/>
      <c r="D26" s="6" t="n"/>
      <c r="E26" s="6" t="n"/>
      <c r="F26" s="6" t="n"/>
      <c r="G26" s="6" t="n"/>
      <c r="H26" s="6" t="n"/>
      <c r="I26" s="10">
        <f>IF(OR(G26="",E26="",F26=""),"",G26*F26*1000/E26)</f>
        <v/>
      </c>
      <c r="J26" s="10">
        <f>IF(E26="","",1000/E26)</f>
        <v/>
      </c>
      <c r="K26" s="13">
        <f>IF(OR(I26="",J26=""),"",IF(I26&lt;=J26,"YES","no"))</f>
        <v/>
      </c>
      <c r="L26" s="10">
        <f>IF(OR(I26="",I26&lt;=0),"",LOG10(I26))</f>
        <v/>
      </c>
    </row>
    <row r="27">
      <c r="A27" s="6" t="n"/>
      <c r="B27" s="6" t="n"/>
      <c r="C27" s="6" t="n"/>
      <c r="D27" s="6" t="n"/>
      <c r="E27" s="6" t="n"/>
      <c r="F27" s="6" t="n"/>
      <c r="G27" s="6" t="n"/>
      <c r="H27" s="6" t="n"/>
      <c r="I27" s="10">
        <f>IF(OR(G27="",E27="",F27=""),"",G27*F27*1000/E27)</f>
        <v/>
      </c>
      <c r="J27" s="10">
        <f>IF(E27="","",1000/E27)</f>
        <v/>
      </c>
      <c r="K27" s="13">
        <f>IF(OR(I27="",J27=""),"",IF(I27&lt;=J27,"YES","no"))</f>
        <v/>
      </c>
      <c r="L27" s="10">
        <f>IF(OR(I27="",I27&lt;=0),"",LOG10(I27))</f>
        <v/>
      </c>
    </row>
    <row r="28">
      <c r="A28" s="6" t="n"/>
      <c r="B28" s="6" t="n"/>
      <c r="C28" s="6" t="n"/>
      <c r="D28" s="6" t="n"/>
      <c r="E28" s="6" t="n"/>
      <c r="F28" s="6" t="n"/>
      <c r="G28" s="6" t="n"/>
      <c r="H28" s="6" t="n"/>
      <c r="I28" s="10">
        <f>IF(OR(G28="",E28="",F28=""),"",G28*F28*1000/E28)</f>
        <v/>
      </c>
      <c r="J28" s="10">
        <f>IF(E28="","",1000/E28)</f>
        <v/>
      </c>
      <c r="K28" s="13">
        <f>IF(OR(I28="",J28=""),"",IF(I28&lt;=J28,"YES","no"))</f>
        <v/>
      </c>
      <c r="L28" s="10">
        <f>IF(OR(I28="",I28&lt;=0),"",LOG10(I28))</f>
        <v/>
      </c>
    </row>
    <row r="29">
      <c r="A29" s="6" t="n"/>
      <c r="B29" s="6" t="n"/>
      <c r="C29" s="6" t="n"/>
      <c r="D29" s="6" t="n"/>
      <c r="E29" s="6" t="n"/>
      <c r="F29" s="6" t="n"/>
      <c r="G29" s="6" t="n"/>
      <c r="H29" s="6" t="n"/>
      <c r="I29" s="10">
        <f>IF(OR(G29="",E29="",F29=""),"",G29*F29*1000/E29)</f>
        <v/>
      </c>
      <c r="J29" s="10">
        <f>IF(E29="","",1000/E29)</f>
        <v/>
      </c>
      <c r="K29" s="13">
        <f>IF(OR(I29="",J29=""),"",IF(I29&lt;=J29,"YES","no"))</f>
        <v/>
      </c>
      <c r="L29" s="10">
        <f>IF(OR(I29="",I29&lt;=0),"",LOG10(I29))</f>
        <v/>
      </c>
    </row>
    <row r="30">
      <c r="A30" s="6" t="n"/>
      <c r="B30" s="6" t="n"/>
      <c r="C30" s="6" t="n"/>
      <c r="D30" s="6" t="n"/>
      <c r="E30" s="6" t="n"/>
      <c r="F30" s="6" t="n"/>
      <c r="G30" s="6" t="n"/>
      <c r="H30" s="6" t="n"/>
      <c r="I30" s="10">
        <f>IF(OR(G30="",E30="",F30=""),"",G30*F30*1000/E30)</f>
        <v/>
      </c>
      <c r="J30" s="10">
        <f>IF(E30="","",1000/E30)</f>
        <v/>
      </c>
      <c r="K30" s="13">
        <f>IF(OR(I30="",J30=""),"",IF(I30&lt;=J30,"YES","no"))</f>
        <v/>
      </c>
      <c r="L30" s="10">
        <f>IF(OR(I30="",I30&lt;=0),"",LOG10(I30))</f>
        <v/>
      </c>
    </row>
    <row r="31">
      <c r="A31" s="6" t="n"/>
      <c r="B31" s="6" t="n"/>
      <c r="C31" s="6" t="n"/>
      <c r="D31" s="6" t="n"/>
      <c r="E31" s="6" t="n"/>
      <c r="F31" s="6" t="n"/>
      <c r="G31" s="6" t="n"/>
      <c r="H31" s="6" t="n"/>
      <c r="I31" s="10">
        <f>IF(OR(G31="",E31="",F31=""),"",G31*F31*1000/E31)</f>
        <v/>
      </c>
      <c r="J31" s="10">
        <f>IF(E31="","",1000/E31)</f>
        <v/>
      </c>
      <c r="K31" s="13">
        <f>IF(OR(I31="",J31=""),"",IF(I31&lt;=J31,"YES","no"))</f>
        <v/>
      </c>
      <c r="L31" s="10">
        <f>IF(OR(I31="",I31&lt;=0),"",LOG10(I31))</f>
        <v/>
      </c>
    </row>
    <row r="32">
      <c r="A32" s="6" t="n"/>
      <c r="B32" s="6" t="n"/>
      <c r="C32" s="6" t="n"/>
      <c r="D32" s="6" t="n"/>
      <c r="E32" s="6" t="n"/>
      <c r="F32" s="6" t="n"/>
      <c r="G32" s="6" t="n"/>
      <c r="H32" s="6" t="n"/>
      <c r="I32" s="10">
        <f>IF(OR(G32="",E32="",F32=""),"",G32*F32*1000/E32)</f>
        <v/>
      </c>
      <c r="J32" s="10">
        <f>IF(E32="","",1000/E32)</f>
        <v/>
      </c>
      <c r="K32" s="13">
        <f>IF(OR(I32="",J32=""),"",IF(I32&lt;=J32,"YES","no"))</f>
        <v/>
      </c>
      <c r="L32" s="10">
        <f>IF(OR(I32="",I32&lt;=0),"",LOG10(I32))</f>
        <v/>
      </c>
    </row>
    <row r="33">
      <c r="A33" s="6" t="n"/>
      <c r="B33" s="6" t="n"/>
      <c r="C33" s="6" t="n"/>
      <c r="D33" s="6" t="n"/>
      <c r="E33" s="6" t="n"/>
      <c r="F33" s="6" t="n"/>
      <c r="G33" s="6" t="n"/>
      <c r="H33" s="6" t="n"/>
      <c r="I33" s="10">
        <f>IF(OR(G33="",E33="",F33=""),"",G33*F33*1000/E33)</f>
        <v/>
      </c>
      <c r="J33" s="10">
        <f>IF(E33="","",1000/E33)</f>
        <v/>
      </c>
      <c r="K33" s="13">
        <f>IF(OR(I33="",J33=""),"",IF(I33&lt;=J33,"YES","no"))</f>
        <v/>
      </c>
      <c r="L33" s="10">
        <f>IF(OR(I33="",I33&lt;=0),"",LOG10(I33))</f>
        <v/>
      </c>
    </row>
    <row r="34">
      <c r="A34" s="6" t="n"/>
      <c r="B34" s="6" t="n"/>
      <c r="C34" s="6" t="n"/>
      <c r="D34" s="6" t="n"/>
      <c r="E34" s="6" t="n"/>
      <c r="F34" s="6" t="n"/>
      <c r="G34" s="6" t="n"/>
      <c r="H34" s="6" t="n"/>
      <c r="I34" s="10">
        <f>IF(OR(G34="",E34="",F34=""),"",G34*F34*1000/E34)</f>
        <v/>
      </c>
      <c r="J34" s="10">
        <f>IF(E34="","",1000/E34)</f>
        <v/>
      </c>
      <c r="K34" s="13">
        <f>IF(OR(I34="",J34=""),"",IF(I34&lt;=J34,"YES","no"))</f>
        <v/>
      </c>
      <c r="L34" s="10">
        <f>IF(OR(I34="",I34&lt;=0),"",LOG10(I34))</f>
        <v/>
      </c>
    </row>
    <row r="35">
      <c r="A35" s="6" t="n"/>
      <c r="B35" s="6" t="n"/>
      <c r="C35" s="6" t="n"/>
      <c r="D35" s="6" t="n"/>
      <c r="E35" s="6" t="n"/>
      <c r="F35" s="6" t="n"/>
      <c r="G35" s="6" t="n"/>
      <c r="H35" s="6" t="n"/>
      <c r="I35" s="10">
        <f>IF(OR(G35="",E35="",F35=""),"",G35*F35*1000/E35)</f>
        <v/>
      </c>
      <c r="J35" s="10">
        <f>IF(E35="","",1000/E35)</f>
        <v/>
      </c>
      <c r="K35" s="13">
        <f>IF(OR(I35="",J35=""),"",IF(I35&lt;=J35,"YES","no"))</f>
        <v/>
      </c>
      <c r="L35" s="10">
        <f>IF(OR(I35="",I35&lt;=0),"",LOG10(I35))</f>
        <v/>
      </c>
    </row>
    <row r="36">
      <c r="A36" s="6" t="n"/>
      <c r="B36" s="6" t="n"/>
      <c r="C36" s="6" t="n"/>
      <c r="D36" s="6" t="n"/>
      <c r="E36" s="6" t="n"/>
      <c r="F36" s="6" t="n"/>
      <c r="G36" s="6" t="n"/>
      <c r="H36" s="6" t="n"/>
      <c r="I36" s="10">
        <f>IF(OR(G36="",E36="",F36=""),"",G36*F36*1000/E36)</f>
        <v/>
      </c>
      <c r="J36" s="10">
        <f>IF(E36="","",1000/E36)</f>
        <v/>
      </c>
      <c r="K36" s="13">
        <f>IF(OR(I36="",J36=""),"",IF(I36&lt;=J36,"YES","no"))</f>
        <v/>
      </c>
      <c r="L36" s="10">
        <f>IF(OR(I36="",I36&lt;=0),"",LOG10(I36))</f>
        <v/>
      </c>
    </row>
    <row r="37">
      <c r="A37" s="6" t="n"/>
      <c r="B37" s="6" t="n"/>
      <c r="C37" s="6" t="n"/>
      <c r="D37" s="6" t="n"/>
      <c r="E37" s="6" t="n"/>
      <c r="F37" s="6" t="n"/>
      <c r="G37" s="6" t="n"/>
      <c r="H37" s="6" t="n"/>
      <c r="I37" s="10">
        <f>IF(OR(G37="",E37="",F37=""),"",G37*F37*1000/E37)</f>
        <v/>
      </c>
      <c r="J37" s="10">
        <f>IF(E37="","",1000/E37)</f>
        <v/>
      </c>
      <c r="K37" s="13">
        <f>IF(OR(I37="",J37=""),"",IF(I37&lt;=J37,"YES","no"))</f>
        <v/>
      </c>
      <c r="L37" s="10">
        <f>IF(OR(I37="",I37&lt;=0),"",LOG10(I37))</f>
        <v/>
      </c>
    </row>
    <row r="38">
      <c r="A38" s="6" t="n"/>
      <c r="B38" s="6" t="n"/>
      <c r="C38" s="6" t="n"/>
      <c r="D38" s="6" t="n"/>
      <c r="E38" s="6" t="n"/>
      <c r="F38" s="6" t="n"/>
      <c r="G38" s="6" t="n"/>
      <c r="H38" s="6" t="n"/>
      <c r="I38" s="10">
        <f>IF(OR(G38="",E38="",F38=""),"",G38*F38*1000/E38)</f>
        <v/>
      </c>
      <c r="J38" s="10">
        <f>IF(E38="","",1000/E38)</f>
        <v/>
      </c>
      <c r="K38" s="13">
        <f>IF(OR(I38="",J38=""),"",IF(I38&lt;=J38,"YES","no"))</f>
        <v/>
      </c>
      <c r="L38" s="10">
        <f>IF(OR(I38="",I38&lt;=0),"",LOG10(I38))</f>
        <v/>
      </c>
    </row>
    <row r="39">
      <c r="A39" s="6" t="n"/>
      <c r="B39" s="6" t="n"/>
      <c r="C39" s="6" t="n"/>
      <c r="D39" s="6" t="n"/>
      <c r="E39" s="6" t="n"/>
      <c r="F39" s="6" t="n"/>
      <c r="G39" s="6" t="n"/>
      <c r="H39" s="6" t="n"/>
      <c r="I39" s="10">
        <f>IF(OR(G39="",E39="",F39=""),"",G39*F39*1000/E39)</f>
        <v/>
      </c>
      <c r="J39" s="10">
        <f>IF(E39="","",1000/E39)</f>
        <v/>
      </c>
      <c r="K39" s="13">
        <f>IF(OR(I39="",J39=""),"",IF(I39&lt;=J39,"YES","no"))</f>
        <v/>
      </c>
      <c r="L39" s="10">
        <f>IF(OR(I39="",I39&lt;=0),"",LOG10(I39))</f>
        <v/>
      </c>
    </row>
    <row r="40">
      <c r="A40" s="6" t="n"/>
      <c r="B40" s="6" t="n"/>
      <c r="C40" s="6" t="n"/>
      <c r="D40" s="6" t="n"/>
      <c r="E40" s="6" t="n"/>
      <c r="F40" s="6" t="n"/>
      <c r="G40" s="6" t="n"/>
      <c r="H40" s="6" t="n"/>
      <c r="I40" s="10">
        <f>IF(OR(G40="",E40="",F40=""),"",G40*F40*1000/E40)</f>
        <v/>
      </c>
      <c r="J40" s="10">
        <f>IF(E40="","",1000/E40)</f>
        <v/>
      </c>
      <c r="K40" s="13">
        <f>IF(OR(I40="",J40=""),"",IF(I40&lt;=J40,"YES","no"))</f>
        <v/>
      </c>
      <c r="L40" s="10">
        <f>IF(OR(I40="",I40&lt;=0),"",LOG10(I40))</f>
        <v/>
      </c>
    </row>
    <row r="41">
      <c r="A41" s="6" t="n"/>
      <c r="B41" s="6" t="n"/>
      <c r="C41" s="6" t="n"/>
      <c r="D41" s="6" t="n"/>
      <c r="E41" s="6" t="n"/>
      <c r="F41" s="6" t="n"/>
      <c r="G41" s="6" t="n"/>
      <c r="H41" s="6" t="n"/>
      <c r="I41" s="10">
        <f>IF(OR(G41="",E41="",F41=""),"",G41*F41*1000/E41)</f>
        <v/>
      </c>
      <c r="J41" s="10">
        <f>IF(E41="","",1000/E41)</f>
        <v/>
      </c>
      <c r="K41" s="13">
        <f>IF(OR(I41="",J41=""),"",IF(I41&lt;=J41,"YES","no"))</f>
        <v/>
      </c>
      <c r="L41" s="10">
        <f>IF(OR(I41="",I41&lt;=0),"",LOG10(I41))</f>
        <v/>
      </c>
    </row>
    <row r="42">
      <c r="A42" s="6" t="n"/>
      <c r="B42" s="6" t="n"/>
      <c r="C42" s="6" t="n"/>
      <c r="D42" s="6" t="n"/>
      <c r="E42" s="6" t="n"/>
      <c r="F42" s="6" t="n"/>
      <c r="G42" s="6" t="n"/>
      <c r="H42" s="6" t="n"/>
      <c r="I42" s="10">
        <f>IF(OR(G42="",E42="",F42=""),"",G42*F42*1000/E42)</f>
        <v/>
      </c>
      <c r="J42" s="10">
        <f>IF(E42="","",1000/E42)</f>
        <v/>
      </c>
      <c r="K42" s="13">
        <f>IF(OR(I42="",J42=""),"",IF(I42&lt;=J42,"YES","no"))</f>
        <v/>
      </c>
      <c r="L42" s="10">
        <f>IF(OR(I42="",I42&lt;=0),"",LOG10(I42))</f>
        <v/>
      </c>
    </row>
    <row r="43">
      <c r="A43" s="6" t="n"/>
      <c r="B43" s="6" t="n"/>
      <c r="C43" s="6" t="n"/>
      <c r="D43" s="6" t="n"/>
      <c r="E43" s="6" t="n"/>
      <c r="F43" s="6" t="n"/>
      <c r="G43" s="6" t="n"/>
      <c r="H43" s="6" t="n"/>
      <c r="I43" s="10">
        <f>IF(OR(G43="",E43="",F43=""),"",G43*F43*1000/E43)</f>
        <v/>
      </c>
      <c r="J43" s="10">
        <f>IF(E43="","",1000/E43)</f>
        <v/>
      </c>
      <c r="K43" s="13">
        <f>IF(OR(I43="",J43=""),"",IF(I43&lt;=J43,"YES","no"))</f>
        <v/>
      </c>
      <c r="L43" s="10">
        <f>IF(OR(I43="",I43&lt;=0),"",LOG10(I43))</f>
        <v/>
      </c>
    </row>
    <row r="44">
      <c r="A44" s="6" t="n"/>
      <c r="B44" s="6" t="n"/>
      <c r="C44" s="6" t="n"/>
      <c r="D44" s="6" t="n"/>
      <c r="E44" s="6" t="n"/>
      <c r="F44" s="6" t="n"/>
      <c r="G44" s="6" t="n"/>
      <c r="H44" s="6" t="n"/>
      <c r="I44" s="10">
        <f>IF(OR(G44="",E44="",F44=""),"",G44*F44*1000/E44)</f>
        <v/>
      </c>
      <c r="J44" s="10">
        <f>IF(E44="","",1000/E44)</f>
        <v/>
      </c>
      <c r="K44" s="13">
        <f>IF(OR(I44="",J44=""),"",IF(I44&lt;=J44,"YES","no"))</f>
        <v/>
      </c>
      <c r="L44" s="10">
        <f>IF(OR(I44="",I44&lt;=0),"",LOG10(I44))</f>
        <v/>
      </c>
    </row>
    <row r="45">
      <c r="A45" s="6" t="n"/>
      <c r="B45" s="6" t="n"/>
      <c r="C45" s="6" t="n"/>
      <c r="D45" s="6" t="n"/>
      <c r="E45" s="6" t="n"/>
      <c r="F45" s="6" t="n"/>
      <c r="G45" s="6" t="n"/>
      <c r="H45" s="6" t="n"/>
      <c r="I45" s="10">
        <f>IF(OR(G45="",E45="",F45=""),"",G45*F45*1000/E45)</f>
        <v/>
      </c>
      <c r="J45" s="10">
        <f>IF(E45="","",1000/E45)</f>
        <v/>
      </c>
      <c r="K45" s="13">
        <f>IF(OR(I45="",J45=""),"",IF(I45&lt;=J45,"YES","no"))</f>
        <v/>
      </c>
      <c r="L45" s="10">
        <f>IF(OR(I45="",I45&lt;=0),"",LOG10(I45))</f>
        <v/>
      </c>
    </row>
    <row r="46">
      <c r="A46" s="6" t="n"/>
      <c r="B46" s="6" t="n"/>
      <c r="C46" s="6" t="n"/>
      <c r="D46" s="6" t="n"/>
      <c r="E46" s="6" t="n"/>
      <c r="F46" s="6" t="n"/>
      <c r="G46" s="6" t="n"/>
      <c r="H46" s="6" t="n"/>
      <c r="I46" s="10">
        <f>IF(OR(G46="",E46="",F46=""),"",G46*F46*1000/E46)</f>
        <v/>
      </c>
      <c r="J46" s="10">
        <f>IF(E46="","",1000/E46)</f>
        <v/>
      </c>
      <c r="K46" s="13">
        <f>IF(OR(I46="",J46=""),"",IF(I46&lt;=J46,"YES","no"))</f>
        <v/>
      </c>
      <c r="L46" s="10">
        <f>IF(OR(I46="",I46&lt;=0),"",LOG10(I46))</f>
        <v/>
      </c>
    </row>
    <row r="47">
      <c r="A47" s="6" t="n"/>
      <c r="B47" s="6" t="n"/>
      <c r="C47" s="6" t="n"/>
      <c r="D47" s="6" t="n"/>
      <c r="E47" s="6" t="n"/>
      <c r="F47" s="6" t="n"/>
      <c r="G47" s="6" t="n"/>
      <c r="H47" s="6" t="n"/>
      <c r="I47" s="10">
        <f>IF(OR(G47="",E47="",F47=""),"",G47*F47*1000/E47)</f>
        <v/>
      </c>
      <c r="J47" s="10">
        <f>IF(E47="","",1000/E47)</f>
        <v/>
      </c>
      <c r="K47" s="13">
        <f>IF(OR(I47="",J47=""),"",IF(I47&lt;=J47,"YES","no"))</f>
        <v/>
      </c>
      <c r="L47" s="10">
        <f>IF(OR(I47="",I47&lt;=0),"",LOG10(I47))</f>
        <v/>
      </c>
    </row>
    <row r="48">
      <c r="A48" s="6" t="n"/>
      <c r="B48" s="6" t="n"/>
      <c r="C48" s="6" t="n"/>
      <c r="D48" s="6" t="n"/>
      <c r="E48" s="6" t="n"/>
      <c r="F48" s="6" t="n"/>
      <c r="G48" s="6" t="n"/>
      <c r="H48" s="6" t="n"/>
      <c r="I48" s="10">
        <f>IF(OR(G48="",E48="",F48=""),"",G48*F48*1000/E48)</f>
        <v/>
      </c>
      <c r="J48" s="10">
        <f>IF(E48="","",1000/E48)</f>
        <v/>
      </c>
      <c r="K48" s="13">
        <f>IF(OR(I48="",J48=""),"",IF(I48&lt;=J48,"YES","no"))</f>
        <v/>
      </c>
      <c r="L48" s="10">
        <f>IF(OR(I48="",I48&lt;=0),"",LOG10(I48))</f>
        <v/>
      </c>
    </row>
    <row r="49">
      <c r="A49" s="6" t="n"/>
      <c r="B49" s="6" t="n"/>
      <c r="C49" s="6" t="n"/>
      <c r="D49" s="6" t="n"/>
      <c r="E49" s="6" t="n"/>
      <c r="F49" s="6" t="n"/>
      <c r="G49" s="6" t="n"/>
      <c r="H49" s="6" t="n"/>
      <c r="I49" s="10">
        <f>IF(OR(G49="",E49="",F49=""),"",G49*F49*1000/E49)</f>
        <v/>
      </c>
      <c r="J49" s="10">
        <f>IF(E49="","",1000/E49)</f>
        <v/>
      </c>
      <c r="K49" s="13">
        <f>IF(OR(I49="",J49=""),"",IF(I49&lt;=J49,"YES","no"))</f>
        <v/>
      </c>
      <c r="L49" s="10">
        <f>IF(OR(I49="",I49&lt;=0),"",LOG10(I49))</f>
        <v/>
      </c>
    </row>
    <row r="50">
      <c r="A50" s="6" t="n"/>
      <c r="B50" s="6" t="n"/>
      <c r="C50" s="6" t="n"/>
      <c r="D50" s="6" t="n"/>
      <c r="E50" s="6" t="n"/>
      <c r="F50" s="6" t="n"/>
      <c r="G50" s="6" t="n"/>
      <c r="H50" s="6" t="n"/>
      <c r="I50" s="10">
        <f>IF(OR(G50="",E50="",F50=""),"",G50*F50*1000/E50)</f>
        <v/>
      </c>
      <c r="J50" s="10">
        <f>IF(E50="","",1000/E50)</f>
        <v/>
      </c>
      <c r="K50" s="13">
        <f>IF(OR(I50="",J50=""),"",IF(I50&lt;=J50,"YES","no"))</f>
        <v/>
      </c>
      <c r="L50" s="10">
        <f>IF(OR(I50="",I50&lt;=0),"",LOG10(I50))</f>
        <v/>
      </c>
    </row>
    <row r="51">
      <c r="A51" s="6" t="n"/>
      <c r="B51" s="6" t="n"/>
      <c r="C51" s="6" t="n"/>
      <c r="D51" s="6" t="n"/>
      <c r="E51" s="6" t="n"/>
      <c r="F51" s="6" t="n"/>
      <c r="G51" s="6" t="n"/>
      <c r="H51" s="6" t="n"/>
      <c r="I51" s="10">
        <f>IF(OR(G51="",E51="",F51=""),"",G51*F51*1000/E51)</f>
        <v/>
      </c>
      <c r="J51" s="10">
        <f>IF(E51="","",1000/E51)</f>
        <v/>
      </c>
      <c r="K51" s="13">
        <f>IF(OR(I51="",J51=""),"",IF(I51&lt;=J51,"YES","no"))</f>
        <v/>
      </c>
      <c r="L51" s="10">
        <f>IF(OR(I51="",I51&lt;=0),"",LOG10(I51))</f>
        <v/>
      </c>
    </row>
    <row r="52">
      <c r="A52" s="6" t="n"/>
      <c r="B52" s="6" t="n"/>
      <c r="C52" s="6" t="n"/>
      <c r="D52" s="6" t="n"/>
      <c r="E52" s="6" t="n"/>
      <c r="F52" s="6" t="n"/>
      <c r="G52" s="6" t="n"/>
      <c r="H52" s="6" t="n"/>
      <c r="I52" s="10">
        <f>IF(OR(G52="",E52="",F52=""),"",G52*F52*1000/E52)</f>
        <v/>
      </c>
      <c r="J52" s="10">
        <f>IF(E52="","",1000/E52)</f>
        <v/>
      </c>
      <c r="K52" s="13">
        <f>IF(OR(I52="",J52=""),"",IF(I52&lt;=J52,"YES","no"))</f>
        <v/>
      </c>
      <c r="L52" s="10">
        <f>IF(OR(I52="",I52&lt;=0),"",LOG10(I52))</f>
        <v/>
      </c>
    </row>
    <row r="53">
      <c r="A53" s="6" t="n"/>
      <c r="B53" s="6" t="n"/>
      <c r="C53" s="6" t="n"/>
      <c r="D53" s="6" t="n"/>
      <c r="E53" s="6" t="n"/>
      <c r="F53" s="6" t="n"/>
      <c r="G53" s="6" t="n"/>
      <c r="H53" s="6" t="n"/>
      <c r="I53" s="10">
        <f>IF(OR(G53="",E53="",F53=""),"",G53*F53*1000/E53)</f>
        <v/>
      </c>
      <c r="J53" s="10">
        <f>IF(E53="","",1000/E53)</f>
        <v/>
      </c>
      <c r="K53" s="13">
        <f>IF(OR(I53="",J53=""),"",IF(I53&lt;=J53,"YES","no"))</f>
        <v/>
      </c>
      <c r="L53" s="10">
        <f>IF(OR(I53="",I53&lt;=0),"",LOG10(I53))</f>
        <v/>
      </c>
    </row>
    <row r="54">
      <c r="A54" s="6" t="n"/>
      <c r="B54" s="6" t="n"/>
      <c r="C54" s="6" t="n"/>
      <c r="D54" s="6" t="n"/>
      <c r="E54" s="6" t="n"/>
      <c r="F54" s="6" t="n"/>
      <c r="G54" s="6" t="n"/>
      <c r="H54" s="6" t="n"/>
      <c r="I54" s="10">
        <f>IF(OR(G54="",E54="",F54=""),"",G54*F54*1000/E54)</f>
        <v/>
      </c>
      <c r="J54" s="10">
        <f>IF(E54="","",1000/E54)</f>
        <v/>
      </c>
      <c r="K54" s="13">
        <f>IF(OR(I54="",J54=""),"",IF(I54&lt;=J54,"YES","no"))</f>
        <v/>
      </c>
      <c r="L54" s="10">
        <f>IF(OR(I54="",I54&lt;=0),"",LOG10(I54))</f>
        <v/>
      </c>
    </row>
    <row r="55">
      <c r="A55" s="6" t="n"/>
      <c r="B55" s="6" t="n"/>
      <c r="C55" s="6" t="n"/>
      <c r="D55" s="6" t="n"/>
      <c r="E55" s="6" t="n"/>
      <c r="F55" s="6" t="n"/>
      <c r="G55" s="6" t="n"/>
      <c r="H55" s="6" t="n"/>
      <c r="I55" s="10">
        <f>IF(OR(G55="",E55="",F55=""),"",G55*F55*1000/E55)</f>
        <v/>
      </c>
      <c r="J55" s="10">
        <f>IF(E55="","",1000/E55)</f>
        <v/>
      </c>
      <c r="K55" s="13">
        <f>IF(OR(I55="",J55=""),"",IF(I55&lt;=J55,"YES","no"))</f>
        <v/>
      </c>
      <c r="L55" s="10">
        <f>IF(OR(I55="",I55&lt;=0),"",LOG10(I55))</f>
        <v/>
      </c>
    </row>
    <row r="56">
      <c r="A56" s="6" t="n"/>
      <c r="B56" s="6" t="n"/>
      <c r="C56" s="6" t="n"/>
      <c r="D56" s="6" t="n"/>
      <c r="E56" s="6" t="n"/>
      <c r="F56" s="6" t="n"/>
      <c r="G56" s="6" t="n"/>
      <c r="H56" s="6" t="n"/>
      <c r="I56" s="10">
        <f>IF(OR(G56="",E56="",F56=""),"",G56*F56*1000/E56)</f>
        <v/>
      </c>
      <c r="J56" s="10">
        <f>IF(E56="","",1000/E56)</f>
        <v/>
      </c>
      <c r="K56" s="13">
        <f>IF(OR(I56="",J56=""),"",IF(I56&lt;=J56,"YES","no"))</f>
        <v/>
      </c>
      <c r="L56" s="10">
        <f>IF(OR(I56="",I56&lt;=0),"",LOG10(I56))</f>
        <v/>
      </c>
    </row>
    <row r="57">
      <c r="A57" s="6" t="n"/>
      <c r="B57" s="6" t="n"/>
      <c r="C57" s="6" t="n"/>
      <c r="D57" s="6" t="n"/>
      <c r="E57" s="6" t="n"/>
      <c r="F57" s="6" t="n"/>
      <c r="G57" s="6" t="n"/>
      <c r="H57" s="6" t="n"/>
      <c r="I57" s="10">
        <f>IF(OR(G57="",E57="",F57=""),"",G57*F57*1000/E57)</f>
        <v/>
      </c>
      <c r="J57" s="10">
        <f>IF(E57="","",1000/E57)</f>
        <v/>
      </c>
      <c r="K57" s="13">
        <f>IF(OR(I57="",J57=""),"",IF(I57&lt;=J57,"YES","no"))</f>
        <v/>
      </c>
      <c r="L57" s="10">
        <f>IF(OR(I57="",I57&lt;=0),"",LOG10(I57))</f>
        <v/>
      </c>
    </row>
    <row r="58">
      <c r="A58" s="6" t="n"/>
      <c r="B58" s="6" t="n"/>
      <c r="C58" s="6" t="n"/>
      <c r="D58" s="6" t="n"/>
      <c r="E58" s="6" t="n"/>
      <c r="F58" s="6" t="n"/>
      <c r="G58" s="6" t="n"/>
      <c r="H58" s="6" t="n"/>
      <c r="I58" s="10">
        <f>IF(OR(G58="",E58="",F58=""),"",G58*F58*1000/E58)</f>
        <v/>
      </c>
      <c r="J58" s="10">
        <f>IF(E58="","",1000/E58)</f>
        <v/>
      </c>
      <c r="K58" s="13">
        <f>IF(OR(I58="",J58=""),"",IF(I58&lt;=J58,"YES","no"))</f>
        <v/>
      </c>
      <c r="L58" s="10">
        <f>IF(OR(I58="",I58&lt;=0),"",LOG10(I58))</f>
        <v/>
      </c>
    </row>
    <row r="59">
      <c r="A59" s="6" t="n"/>
      <c r="B59" s="6" t="n"/>
      <c r="C59" s="6" t="n"/>
      <c r="D59" s="6" t="n"/>
      <c r="E59" s="6" t="n"/>
      <c r="F59" s="6" t="n"/>
      <c r="G59" s="6" t="n"/>
      <c r="H59" s="6" t="n"/>
      <c r="I59" s="10">
        <f>IF(OR(G59="",E59="",F59=""),"",G59*F59*1000/E59)</f>
        <v/>
      </c>
      <c r="J59" s="10">
        <f>IF(E59="","",1000/E59)</f>
        <v/>
      </c>
      <c r="K59" s="13">
        <f>IF(OR(I59="",J59=""),"",IF(I59&lt;=J59,"YES","no"))</f>
        <v/>
      </c>
      <c r="L59" s="10">
        <f>IF(OR(I59="",I59&lt;=0),"",LOG10(I59))</f>
        <v/>
      </c>
    </row>
    <row r="60">
      <c r="A60" s="6" t="n"/>
      <c r="B60" s="6" t="n"/>
      <c r="C60" s="6" t="n"/>
      <c r="D60" s="6" t="n"/>
      <c r="E60" s="6" t="n"/>
      <c r="F60" s="6" t="n"/>
      <c r="G60" s="6" t="n"/>
      <c r="H60" s="6" t="n"/>
      <c r="I60" s="10">
        <f>IF(OR(G60="",E60="",F60=""),"",G60*F60*1000/E60)</f>
        <v/>
      </c>
      <c r="J60" s="10">
        <f>IF(E60="","",1000/E60)</f>
        <v/>
      </c>
      <c r="K60" s="13">
        <f>IF(OR(I60="",J60=""),"",IF(I60&lt;=J60,"YES","no"))</f>
        <v/>
      </c>
      <c r="L60" s="10">
        <f>IF(OR(I60="",I60&lt;=0),"",LOG10(I60))</f>
        <v/>
      </c>
    </row>
    <row r="61">
      <c r="A61" s="6" t="n"/>
      <c r="B61" s="6" t="n"/>
      <c r="C61" s="6" t="n"/>
      <c r="D61" s="6" t="n"/>
      <c r="E61" s="6" t="n"/>
      <c r="F61" s="6" t="n"/>
      <c r="G61" s="6" t="n"/>
      <c r="H61" s="6" t="n"/>
      <c r="I61" s="10">
        <f>IF(OR(G61="",E61="",F61=""),"",G61*F61*1000/E61)</f>
        <v/>
      </c>
      <c r="J61" s="10">
        <f>IF(E61="","",1000/E61)</f>
        <v/>
      </c>
      <c r="K61" s="13">
        <f>IF(OR(I61="",J61=""),"",IF(I61&lt;=J61,"YES","no"))</f>
        <v/>
      </c>
      <c r="L61" s="10">
        <f>IF(OR(I61="",I61&lt;=0),"",LOG10(I61))</f>
        <v/>
      </c>
    </row>
    <row r="62">
      <c r="A62" s="6" t="n"/>
      <c r="B62" s="6" t="n"/>
      <c r="C62" s="6" t="n"/>
      <c r="D62" s="6" t="n"/>
      <c r="E62" s="6" t="n"/>
      <c r="F62" s="6" t="n"/>
      <c r="G62" s="6" t="n"/>
      <c r="H62" s="6" t="n"/>
      <c r="I62" s="10">
        <f>IF(OR(G62="",E62="",F62=""),"",G62*F62*1000/E62)</f>
        <v/>
      </c>
      <c r="J62" s="10">
        <f>IF(E62="","",1000/E62)</f>
        <v/>
      </c>
      <c r="K62" s="13">
        <f>IF(OR(I62="",J62=""),"",IF(I62&lt;=J62,"YES","no"))</f>
        <v/>
      </c>
      <c r="L62" s="10">
        <f>IF(OR(I62="",I62&lt;=0),"",LOG10(I62))</f>
        <v/>
      </c>
    </row>
    <row r="63">
      <c r="A63" s="6" t="n"/>
      <c r="B63" s="6" t="n"/>
      <c r="C63" s="6" t="n"/>
      <c r="D63" s="6" t="n"/>
      <c r="E63" s="6" t="n"/>
      <c r="F63" s="6" t="n"/>
      <c r="G63" s="6" t="n"/>
      <c r="H63" s="6" t="n"/>
      <c r="I63" s="10">
        <f>IF(OR(G63="",E63="",F63=""),"",G63*F63*1000/E63)</f>
        <v/>
      </c>
      <c r="J63" s="10">
        <f>IF(E63="","",1000/E63)</f>
        <v/>
      </c>
      <c r="K63" s="13">
        <f>IF(OR(I63="",J63=""),"",IF(I63&lt;=J63,"YES","no"))</f>
        <v/>
      </c>
      <c r="L63" s="10">
        <f>IF(OR(I63="",I63&lt;=0),"",LOG10(I63))</f>
        <v/>
      </c>
    </row>
    <row r="64">
      <c r="A64" s="6" t="n"/>
      <c r="B64" s="6" t="n"/>
      <c r="C64" s="6" t="n"/>
      <c r="D64" s="6" t="n"/>
      <c r="E64" s="6" t="n"/>
      <c r="F64" s="6" t="n"/>
      <c r="G64" s="6" t="n"/>
      <c r="H64" s="6" t="n"/>
      <c r="I64" s="10">
        <f>IF(OR(G64="",E64="",F64=""),"",G64*F64*1000/E64)</f>
        <v/>
      </c>
      <c r="J64" s="10">
        <f>IF(E64="","",1000/E64)</f>
        <v/>
      </c>
      <c r="K64" s="13">
        <f>IF(OR(I64="",J64=""),"",IF(I64&lt;=J64,"YES","no"))</f>
        <v/>
      </c>
      <c r="L64" s="10">
        <f>IF(OR(I64="",I64&lt;=0),"",LOG10(I64))</f>
        <v/>
      </c>
    </row>
    <row r="65">
      <c r="A65" s="6" t="n"/>
      <c r="B65" s="6" t="n"/>
      <c r="C65" s="6" t="n"/>
      <c r="D65" s="6" t="n"/>
      <c r="E65" s="6" t="n"/>
      <c r="F65" s="6" t="n"/>
      <c r="G65" s="6" t="n"/>
      <c r="H65" s="6" t="n"/>
      <c r="I65" s="10">
        <f>IF(OR(G65="",E65="",F65=""),"",G65*F65*1000/E65)</f>
        <v/>
      </c>
      <c r="J65" s="10">
        <f>IF(E65="","",1000/E65)</f>
        <v/>
      </c>
      <c r="K65" s="13">
        <f>IF(OR(I65="",J65=""),"",IF(I65&lt;=J65,"YES","no"))</f>
        <v/>
      </c>
      <c r="L65" s="10">
        <f>IF(OR(I65="",I65&lt;=0),"",LOG10(I65))</f>
        <v/>
      </c>
    </row>
    <row r="66">
      <c r="A66" s="6" t="n"/>
      <c r="B66" s="6" t="n"/>
      <c r="C66" s="6" t="n"/>
      <c r="D66" s="6" t="n"/>
      <c r="E66" s="6" t="n"/>
      <c r="F66" s="6" t="n"/>
      <c r="G66" s="6" t="n"/>
      <c r="H66" s="6" t="n"/>
      <c r="I66" s="10">
        <f>IF(OR(G66="",E66="",F66=""),"",G66*F66*1000/E66)</f>
        <v/>
      </c>
      <c r="J66" s="10">
        <f>IF(E66="","",1000/E66)</f>
        <v/>
      </c>
      <c r="K66" s="13">
        <f>IF(OR(I66="",J66=""),"",IF(I66&lt;=J66,"YES","no"))</f>
        <v/>
      </c>
      <c r="L66" s="10">
        <f>IF(OR(I66="",I66&lt;=0),"",LOG10(I66))</f>
        <v/>
      </c>
    </row>
    <row r="67">
      <c r="A67" s="6" t="n"/>
      <c r="B67" s="6" t="n"/>
      <c r="C67" s="6" t="n"/>
      <c r="D67" s="6" t="n"/>
      <c r="E67" s="6" t="n"/>
      <c r="F67" s="6" t="n"/>
      <c r="G67" s="6" t="n"/>
      <c r="H67" s="6" t="n"/>
      <c r="I67" s="10">
        <f>IF(OR(G67="",E67="",F67=""),"",G67*F67*1000/E67)</f>
        <v/>
      </c>
      <c r="J67" s="10">
        <f>IF(E67="","",1000/E67)</f>
        <v/>
      </c>
      <c r="K67" s="13">
        <f>IF(OR(I67="",J67=""),"",IF(I67&lt;=J67,"YES","no"))</f>
        <v/>
      </c>
      <c r="L67" s="10">
        <f>IF(OR(I67="",I67&lt;=0),"",LOG10(I67))</f>
        <v/>
      </c>
    </row>
    <row r="68">
      <c r="A68" s="6" t="n"/>
      <c r="B68" s="6" t="n"/>
      <c r="C68" s="6" t="n"/>
      <c r="D68" s="6" t="n"/>
      <c r="E68" s="6" t="n"/>
      <c r="F68" s="6" t="n"/>
      <c r="G68" s="6" t="n"/>
      <c r="H68" s="6" t="n"/>
      <c r="I68" s="10">
        <f>IF(OR(G68="",E68="",F68=""),"",G68*F68*1000/E68)</f>
        <v/>
      </c>
      <c r="J68" s="10">
        <f>IF(E68="","",1000/E68)</f>
        <v/>
      </c>
      <c r="K68" s="13">
        <f>IF(OR(I68="",J68=""),"",IF(I68&lt;=J68,"YES","no"))</f>
        <v/>
      </c>
      <c r="L68" s="10">
        <f>IF(OR(I68="",I68&lt;=0),"",LOG10(I68))</f>
        <v/>
      </c>
    </row>
    <row r="69">
      <c r="A69" s="6" t="n"/>
      <c r="B69" s="6" t="n"/>
      <c r="C69" s="6" t="n"/>
      <c r="D69" s="6" t="n"/>
      <c r="E69" s="6" t="n"/>
      <c r="F69" s="6" t="n"/>
      <c r="G69" s="6" t="n"/>
      <c r="H69" s="6" t="n"/>
      <c r="I69" s="10">
        <f>IF(OR(G69="",E69="",F69=""),"",G69*F69*1000/E69)</f>
        <v/>
      </c>
      <c r="J69" s="10">
        <f>IF(E69="","",1000/E69)</f>
        <v/>
      </c>
      <c r="K69" s="13">
        <f>IF(OR(I69="",J69=""),"",IF(I69&lt;=J69,"YES","no"))</f>
        <v/>
      </c>
      <c r="L69" s="10">
        <f>IF(OR(I69="",I69&lt;=0),"",LOG10(I69))</f>
        <v/>
      </c>
    </row>
    <row r="70">
      <c r="A70" s="6" t="n"/>
      <c r="B70" s="6" t="n"/>
      <c r="C70" s="6" t="n"/>
      <c r="D70" s="6" t="n"/>
      <c r="E70" s="6" t="n"/>
      <c r="F70" s="6" t="n"/>
      <c r="G70" s="6" t="n"/>
      <c r="H70" s="6" t="n"/>
      <c r="I70" s="10">
        <f>IF(OR(G70="",E70="",F70=""),"",G70*F70*1000/E70)</f>
        <v/>
      </c>
      <c r="J70" s="10">
        <f>IF(E70="","",1000/E70)</f>
        <v/>
      </c>
      <c r="K70" s="13">
        <f>IF(OR(I70="",J70=""),"",IF(I70&lt;=J70,"YES","no"))</f>
        <v/>
      </c>
      <c r="L70" s="10">
        <f>IF(OR(I70="",I70&lt;=0),"",LOG10(I70))</f>
        <v/>
      </c>
    </row>
    <row r="71">
      <c r="A71" s="6" t="n"/>
      <c r="B71" s="6" t="n"/>
      <c r="C71" s="6" t="n"/>
      <c r="D71" s="6" t="n"/>
      <c r="E71" s="6" t="n"/>
      <c r="F71" s="6" t="n"/>
      <c r="G71" s="6" t="n"/>
      <c r="H71" s="6" t="n"/>
      <c r="I71" s="10">
        <f>IF(OR(G71="",E71="",F71=""),"",G71*F71*1000/E71)</f>
        <v/>
      </c>
      <c r="J71" s="10">
        <f>IF(E71="","",1000/E71)</f>
        <v/>
      </c>
      <c r="K71" s="13">
        <f>IF(OR(I71="",J71=""),"",IF(I71&lt;=J71,"YES","no"))</f>
        <v/>
      </c>
      <c r="L71" s="10">
        <f>IF(OR(I71="",I71&lt;=0),"",LOG10(I71))</f>
        <v/>
      </c>
    </row>
    <row r="72">
      <c r="A72" s="6" t="n"/>
      <c r="B72" s="6" t="n"/>
      <c r="C72" s="6" t="n"/>
      <c r="D72" s="6" t="n"/>
      <c r="E72" s="6" t="n"/>
      <c r="F72" s="6" t="n"/>
      <c r="G72" s="6" t="n"/>
      <c r="H72" s="6" t="n"/>
      <c r="I72" s="10">
        <f>IF(OR(G72="",E72="",F72=""),"",G72*F72*1000/E72)</f>
        <v/>
      </c>
      <c r="J72" s="10">
        <f>IF(E72="","",1000/E72)</f>
        <v/>
      </c>
      <c r="K72" s="13">
        <f>IF(OR(I72="",J72=""),"",IF(I72&lt;=J72,"YES","no"))</f>
        <v/>
      </c>
      <c r="L72" s="10">
        <f>IF(OR(I72="",I72&lt;=0),"",LOG10(I72))</f>
        <v/>
      </c>
    </row>
    <row r="73">
      <c r="A73" s="6" t="n"/>
      <c r="B73" s="6" t="n"/>
      <c r="C73" s="6" t="n"/>
      <c r="D73" s="6" t="n"/>
      <c r="E73" s="6" t="n"/>
      <c r="F73" s="6" t="n"/>
      <c r="G73" s="6" t="n"/>
      <c r="H73" s="6" t="n"/>
      <c r="I73" s="10">
        <f>IF(OR(G73="",E73="",F73=""),"",G73*F73*1000/E73)</f>
        <v/>
      </c>
      <c r="J73" s="10">
        <f>IF(E73="","",1000/E73)</f>
        <v/>
      </c>
      <c r="K73" s="13">
        <f>IF(OR(I73="",J73=""),"",IF(I73&lt;=J73,"YES","no"))</f>
        <v/>
      </c>
      <c r="L73" s="10">
        <f>IF(OR(I73="",I73&lt;=0),"",LOG10(I73))</f>
        <v/>
      </c>
    </row>
    <row r="74">
      <c r="A74" s="6" t="n"/>
      <c r="B74" s="6" t="n"/>
      <c r="C74" s="6" t="n"/>
      <c r="D74" s="6" t="n"/>
      <c r="E74" s="6" t="n"/>
      <c r="F74" s="6" t="n"/>
      <c r="G74" s="6" t="n"/>
      <c r="H74" s="6" t="n"/>
      <c r="I74" s="10">
        <f>IF(OR(G74="",E74="",F74=""),"",G74*F74*1000/E74)</f>
        <v/>
      </c>
      <c r="J74" s="10">
        <f>IF(E74="","",1000/E74)</f>
        <v/>
      </c>
      <c r="K74" s="13">
        <f>IF(OR(I74="",J74=""),"",IF(I74&lt;=J74,"YES","no"))</f>
        <v/>
      </c>
      <c r="L74" s="10">
        <f>IF(OR(I74="",I74&lt;=0),"",LOG10(I74))</f>
        <v/>
      </c>
    </row>
    <row r="75">
      <c r="A75" s="6" t="n"/>
      <c r="B75" s="6" t="n"/>
      <c r="C75" s="6" t="n"/>
      <c r="D75" s="6" t="n"/>
      <c r="E75" s="6" t="n"/>
      <c r="F75" s="6" t="n"/>
      <c r="G75" s="6" t="n"/>
      <c r="H75" s="6" t="n"/>
      <c r="I75" s="10">
        <f>IF(OR(G75="",E75="",F75=""),"",G75*F75*1000/E75)</f>
        <v/>
      </c>
      <c r="J75" s="10">
        <f>IF(E75="","",1000/E75)</f>
        <v/>
      </c>
      <c r="K75" s="13">
        <f>IF(OR(I75="",J75=""),"",IF(I75&lt;=J75,"YES","no"))</f>
        <v/>
      </c>
      <c r="L75" s="10">
        <f>IF(OR(I75="",I75&lt;=0),"",LOG10(I75))</f>
        <v/>
      </c>
    </row>
    <row r="76">
      <c r="A76" s="6" t="n"/>
      <c r="B76" s="6" t="n"/>
      <c r="C76" s="6" t="n"/>
      <c r="D76" s="6" t="n"/>
      <c r="E76" s="6" t="n"/>
      <c r="F76" s="6" t="n"/>
      <c r="G76" s="6" t="n"/>
      <c r="H76" s="6" t="n"/>
      <c r="I76" s="10">
        <f>IF(OR(G76="",E76="",F76=""),"",G76*F76*1000/E76)</f>
        <v/>
      </c>
      <c r="J76" s="10">
        <f>IF(E76="","",1000/E76)</f>
        <v/>
      </c>
      <c r="K76" s="13">
        <f>IF(OR(I76="",J76=""),"",IF(I76&lt;=J76,"YES","no"))</f>
        <v/>
      </c>
      <c r="L76" s="10">
        <f>IF(OR(I76="",I76&lt;=0),"",LOG10(I76))</f>
        <v/>
      </c>
    </row>
    <row r="77">
      <c r="A77" s="6" t="n"/>
      <c r="B77" s="6" t="n"/>
      <c r="C77" s="6" t="n"/>
      <c r="D77" s="6" t="n"/>
      <c r="E77" s="6" t="n"/>
      <c r="F77" s="6" t="n"/>
      <c r="G77" s="6" t="n"/>
      <c r="H77" s="6" t="n"/>
      <c r="I77" s="10">
        <f>IF(OR(G77="",E77="",F77=""),"",G77*F77*1000/E77)</f>
        <v/>
      </c>
      <c r="J77" s="10">
        <f>IF(E77="","",1000/E77)</f>
        <v/>
      </c>
      <c r="K77" s="13">
        <f>IF(OR(I77="",J77=""),"",IF(I77&lt;=J77,"YES","no"))</f>
        <v/>
      </c>
      <c r="L77" s="10">
        <f>IF(OR(I77="",I77&lt;=0),"",LOG10(I77))</f>
        <v/>
      </c>
    </row>
    <row r="78">
      <c r="A78" s="6" t="n"/>
      <c r="B78" s="6" t="n"/>
      <c r="C78" s="6" t="n"/>
      <c r="D78" s="6" t="n"/>
      <c r="E78" s="6" t="n"/>
      <c r="F78" s="6" t="n"/>
      <c r="G78" s="6" t="n"/>
      <c r="H78" s="6" t="n"/>
      <c r="I78" s="10">
        <f>IF(OR(G78="",E78="",F78=""),"",G78*F78*1000/E78)</f>
        <v/>
      </c>
      <c r="J78" s="10">
        <f>IF(E78="","",1000/E78)</f>
        <v/>
      </c>
      <c r="K78" s="13">
        <f>IF(OR(I78="",J78=""),"",IF(I78&lt;=J78,"YES","no"))</f>
        <v/>
      </c>
      <c r="L78" s="10">
        <f>IF(OR(I78="",I78&lt;=0),"",LOG10(I78))</f>
        <v/>
      </c>
    </row>
    <row r="79">
      <c r="A79" s="6" t="n"/>
      <c r="B79" s="6" t="n"/>
      <c r="C79" s="6" t="n"/>
      <c r="D79" s="6" t="n"/>
      <c r="E79" s="6" t="n"/>
      <c r="F79" s="6" t="n"/>
      <c r="G79" s="6" t="n"/>
      <c r="H79" s="6" t="n"/>
      <c r="I79" s="10">
        <f>IF(OR(G79="",E79="",F79=""),"",G79*F79*1000/E79)</f>
        <v/>
      </c>
      <c r="J79" s="10">
        <f>IF(E79="","",1000/E79)</f>
        <v/>
      </c>
      <c r="K79" s="13">
        <f>IF(OR(I79="",J79=""),"",IF(I79&lt;=J79,"YES","no"))</f>
        <v/>
      </c>
      <c r="L79" s="10">
        <f>IF(OR(I79="",I79&lt;=0),"",LOG10(I79))</f>
        <v/>
      </c>
    </row>
    <row r="80">
      <c r="A80" s="6" t="n"/>
      <c r="B80" s="6" t="n"/>
      <c r="C80" s="6" t="n"/>
      <c r="D80" s="6" t="n"/>
      <c r="E80" s="6" t="n"/>
      <c r="F80" s="6" t="n"/>
      <c r="G80" s="6" t="n"/>
      <c r="H80" s="6" t="n"/>
      <c r="I80" s="10">
        <f>IF(OR(G80="",E80="",F80=""),"",G80*F80*1000/E80)</f>
        <v/>
      </c>
      <c r="J80" s="10">
        <f>IF(E80="","",1000/E80)</f>
        <v/>
      </c>
      <c r="K80" s="13">
        <f>IF(OR(I80="",J80=""),"",IF(I80&lt;=J80,"YES","no"))</f>
        <v/>
      </c>
      <c r="L80" s="10">
        <f>IF(OR(I80="",I80&lt;=0),"",LOG10(I80))</f>
        <v/>
      </c>
    </row>
    <row r="81">
      <c r="A81" s="6" t="n"/>
      <c r="B81" s="6" t="n"/>
      <c r="C81" s="6" t="n"/>
      <c r="D81" s="6" t="n"/>
      <c r="E81" s="6" t="n"/>
      <c r="F81" s="6" t="n"/>
      <c r="G81" s="6" t="n"/>
      <c r="H81" s="6" t="n"/>
      <c r="I81" s="10">
        <f>IF(OR(G81="",E81="",F81=""),"",G81*F81*1000/E81)</f>
        <v/>
      </c>
      <c r="J81" s="10">
        <f>IF(E81="","",1000/E81)</f>
        <v/>
      </c>
      <c r="K81" s="13">
        <f>IF(OR(I81="",J81=""),"",IF(I81&lt;=J81,"YES","no"))</f>
        <v/>
      </c>
      <c r="L81" s="10">
        <f>IF(OR(I81="",I81&lt;=0),"",LOG10(I81))</f>
        <v/>
      </c>
    </row>
    <row r="82">
      <c r="A82" s="6" t="n"/>
      <c r="B82" s="6" t="n"/>
      <c r="C82" s="6" t="n"/>
      <c r="D82" s="6" t="n"/>
      <c r="E82" s="6" t="n"/>
      <c r="F82" s="6" t="n"/>
      <c r="G82" s="6" t="n"/>
      <c r="H82" s="6" t="n"/>
      <c r="I82" s="10">
        <f>IF(OR(G82="",E82="",F82=""),"",G82*F82*1000/E82)</f>
        <v/>
      </c>
      <c r="J82" s="10">
        <f>IF(E82="","",1000/E82)</f>
        <v/>
      </c>
      <c r="K82" s="13">
        <f>IF(OR(I82="",J82=""),"",IF(I82&lt;=J82,"YES","no"))</f>
        <v/>
      </c>
      <c r="L82" s="10">
        <f>IF(OR(I82="",I82&lt;=0),"",LOG10(I82))</f>
        <v/>
      </c>
    </row>
    <row r="83">
      <c r="A83" s="6" t="n"/>
      <c r="B83" s="6" t="n"/>
      <c r="C83" s="6" t="n"/>
      <c r="D83" s="6" t="n"/>
      <c r="E83" s="6" t="n"/>
      <c r="F83" s="6" t="n"/>
      <c r="G83" s="6" t="n"/>
      <c r="H83" s="6" t="n"/>
      <c r="I83" s="10">
        <f>IF(OR(G83="",E83="",F83=""),"",G83*F83*1000/E83)</f>
        <v/>
      </c>
      <c r="J83" s="10">
        <f>IF(E83="","",1000/E83)</f>
        <v/>
      </c>
      <c r="K83" s="13">
        <f>IF(OR(I83="",J83=""),"",IF(I83&lt;=J83,"YES","no"))</f>
        <v/>
      </c>
      <c r="L83" s="10">
        <f>IF(OR(I83="",I83&lt;=0),"",LOG10(I83))</f>
        <v/>
      </c>
    </row>
    <row r="84">
      <c r="A84" s="6" t="n"/>
      <c r="B84" s="6" t="n"/>
      <c r="C84" s="6" t="n"/>
      <c r="D84" s="6" t="n"/>
      <c r="E84" s="6" t="n"/>
      <c r="F84" s="6" t="n"/>
      <c r="G84" s="6" t="n"/>
      <c r="H84" s="6" t="n"/>
      <c r="I84" s="10">
        <f>IF(OR(G84="",E84="",F84=""),"",G84*F84*1000/E84)</f>
        <v/>
      </c>
      <c r="J84" s="10">
        <f>IF(E84="","",1000/E84)</f>
        <v/>
      </c>
      <c r="K84" s="13">
        <f>IF(OR(I84="",J84=""),"",IF(I84&lt;=J84,"YES","no"))</f>
        <v/>
      </c>
      <c r="L84" s="10">
        <f>IF(OR(I84="",I84&lt;=0),"",LOG10(I84))</f>
        <v/>
      </c>
    </row>
    <row r="85">
      <c r="A85" s="6" t="n"/>
      <c r="B85" s="6" t="n"/>
      <c r="C85" s="6" t="n"/>
      <c r="D85" s="6" t="n"/>
      <c r="E85" s="6" t="n"/>
      <c r="F85" s="6" t="n"/>
      <c r="G85" s="6" t="n"/>
      <c r="H85" s="6" t="n"/>
      <c r="I85" s="10">
        <f>IF(OR(G85="",E85="",F85=""),"",G85*F85*1000/E85)</f>
        <v/>
      </c>
      <c r="J85" s="10">
        <f>IF(E85="","",1000/E85)</f>
        <v/>
      </c>
      <c r="K85" s="13">
        <f>IF(OR(I85="",J85=""),"",IF(I85&lt;=J85,"YES","no"))</f>
        <v/>
      </c>
      <c r="L85" s="10">
        <f>IF(OR(I85="",I85&lt;=0),"",LOG10(I85))</f>
        <v/>
      </c>
    </row>
    <row r="86">
      <c r="A86" s="6" t="n"/>
      <c r="B86" s="6" t="n"/>
      <c r="C86" s="6" t="n"/>
      <c r="D86" s="6" t="n"/>
      <c r="E86" s="6" t="n"/>
      <c r="F86" s="6" t="n"/>
      <c r="G86" s="6" t="n"/>
      <c r="H86" s="6" t="n"/>
      <c r="I86" s="10">
        <f>IF(OR(G86="",E86="",F86=""),"",G86*F86*1000/E86)</f>
        <v/>
      </c>
      <c r="J86" s="10">
        <f>IF(E86="","",1000/E86)</f>
        <v/>
      </c>
      <c r="K86" s="13">
        <f>IF(OR(I86="",J86=""),"",IF(I86&lt;=J86,"YES","no"))</f>
        <v/>
      </c>
      <c r="L86" s="10">
        <f>IF(OR(I86="",I86&lt;=0),"",LOG10(I86))</f>
        <v/>
      </c>
    </row>
    <row r="87">
      <c r="A87" s="6" t="n"/>
      <c r="B87" s="6" t="n"/>
      <c r="C87" s="6" t="n"/>
      <c r="D87" s="6" t="n"/>
      <c r="E87" s="6" t="n"/>
      <c r="F87" s="6" t="n"/>
      <c r="G87" s="6" t="n"/>
      <c r="H87" s="6" t="n"/>
      <c r="I87" s="10">
        <f>IF(OR(G87="",E87="",F87=""),"",G87*F87*1000/E87)</f>
        <v/>
      </c>
      <c r="J87" s="10">
        <f>IF(E87="","",1000/E87)</f>
        <v/>
      </c>
      <c r="K87" s="13">
        <f>IF(OR(I87="",J87=""),"",IF(I87&lt;=J87,"YES","no"))</f>
        <v/>
      </c>
      <c r="L87" s="10">
        <f>IF(OR(I87="",I87&lt;=0),"",LOG10(I87))</f>
        <v/>
      </c>
    </row>
    <row r="88">
      <c r="A88" s="6" t="n"/>
      <c r="B88" s="6" t="n"/>
      <c r="C88" s="6" t="n"/>
      <c r="D88" s="6" t="n"/>
      <c r="E88" s="6" t="n"/>
      <c r="F88" s="6" t="n"/>
      <c r="G88" s="6" t="n"/>
      <c r="H88" s="6" t="n"/>
      <c r="I88" s="10">
        <f>IF(OR(G88="",E88="",F88=""),"",G88*F88*1000/E88)</f>
        <v/>
      </c>
      <c r="J88" s="10">
        <f>IF(E88="","",1000/E88)</f>
        <v/>
      </c>
      <c r="K88" s="13">
        <f>IF(OR(I88="",J88=""),"",IF(I88&lt;=J88,"YES","no"))</f>
        <v/>
      </c>
      <c r="L88" s="10">
        <f>IF(OR(I88="",I88&lt;=0),"",LOG10(I88))</f>
        <v/>
      </c>
    </row>
    <row r="89">
      <c r="A89" s="6" t="n"/>
      <c r="B89" s="6" t="n"/>
      <c r="C89" s="6" t="n"/>
      <c r="D89" s="6" t="n"/>
      <c r="E89" s="6" t="n"/>
      <c r="F89" s="6" t="n"/>
      <c r="G89" s="6" t="n"/>
      <c r="H89" s="6" t="n"/>
      <c r="I89" s="10">
        <f>IF(OR(G89="",E89="",F89=""),"",G89*F89*1000/E89)</f>
        <v/>
      </c>
      <c r="J89" s="10">
        <f>IF(E89="","",1000/E89)</f>
        <v/>
      </c>
      <c r="K89" s="13">
        <f>IF(OR(I89="",J89=""),"",IF(I89&lt;=J89,"YES","no"))</f>
        <v/>
      </c>
      <c r="L89" s="10">
        <f>IF(OR(I89="",I89&lt;=0),"",LOG10(I89))</f>
        <v/>
      </c>
    </row>
    <row r="90">
      <c r="A90" s="6" t="n"/>
      <c r="B90" s="6" t="n"/>
      <c r="C90" s="6" t="n"/>
      <c r="D90" s="6" t="n"/>
      <c r="E90" s="6" t="n"/>
      <c r="F90" s="6" t="n"/>
      <c r="G90" s="6" t="n"/>
      <c r="H90" s="6" t="n"/>
      <c r="I90" s="10">
        <f>IF(OR(G90="",E90="",F90=""),"",G90*F90*1000/E90)</f>
        <v/>
      </c>
      <c r="J90" s="10">
        <f>IF(E90="","",1000/E90)</f>
        <v/>
      </c>
      <c r="K90" s="13">
        <f>IF(OR(I90="",J90=""),"",IF(I90&lt;=J90,"YES","no"))</f>
        <v/>
      </c>
      <c r="L90" s="10">
        <f>IF(OR(I90="",I90&lt;=0),"",LOG10(I90))</f>
        <v/>
      </c>
    </row>
    <row r="91">
      <c r="A91" s="6" t="n"/>
      <c r="B91" s="6" t="n"/>
      <c r="C91" s="6" t="n"/>
      <c r="D91" s="6" t="n"/>
      <c r="E91" s="6" t="n"/>
      <c r="F91" s="6" t="n"/>
      <c r="G91" s="6" t="n"/>
      <c r="H91" s="6" t="n"/>
      <c r="I91" s="10">
        <f>IF(OR(G91="",E91="",F91=""),"",G91*F91*1000/E91)</f>
        <v/>
      </c>
      <c r="J91" s="10">
        <f>IF(E91="","",1000/E91)</f>
        <v/>
      </c>
      <c r="K91" s="13">
        <f>IF(OR(I91="",J91=""),"",IF(I91&lt;=J91,"YES","no"))</f>
        <v/>
      </c>
      <c r="L91" s="10">
        <f>IF(OR(I91="",I91&lt;=0),"",LOG10(I91))</f>
        <v/>
      </c>
    </row>
    <row r="92">
      <c r="A92" s="6" t="n"/>
      <c r="B92" s="6" t="n"/>
      <c r="C92" s="6" t="n"/>
      <c r="D92" s="6" t="n"/>
      <c r="E92" s="6" t="n"/>
      <c r="F92" s="6" t="n"/>
      <c r="G92" s="6" t="n"/>
      <c r="H92" s="6" t="n"/>
      <c r="I92" s="10">
        <f>IF(OR(G92="",E92="",F92=""),"",G92*F92*1000/E92)</f>
        <v/>
      </c>
      <c r="J92" s="10">
        <f>IF(E92="","",1000/E92)</f>
        <v/>
      </c>
      <c r="K92" s="13">
        <f>IF(OR(I92="",J92=""),"",IF(I92&lt;=J92,"YES","no"))</f>
        <v/>
      </c>
      <c r="L92" s="10">
        <f>IF(OR(I92="",I92&lt;=0),"",LOG10(I92))</f>
        <v/>
      </c>
    </row>
    <row r="93">
      <c r="A93" s="6" t="n"/>
      <c r="B93" s="6" t="n"/>
      <c r="C93" s="6" t="n"/>
      <c r="D93" s="6" t="n"/>
      <c r="E93" s="6" t="n"/>
      <c r="F93" s="6" t="n"/>
      <c r="G93" s="6" t="n"/>
      <c r="H93" s="6" t="n"/>
      <c r="I93" s="10">
        <f>IF(OR(G93="",E93="",F93=""),"",G93*F93*1000/E93)</f>
        <v/>
      </c>
      <c r="J93" s="10">
        <f>IF(E93="","",1000/E93)</f>
        <v/>
      </c>
      <c r="K93" s="13">
        <f>IF(OR(I93="",J93=""),"",IF(I93&lt;=J93,"YES","no"))</f>
        <v/>
      </c>
      <c r="L93" s="10">
        <f>IF(OR(I93="",I93&lt;=0),"",LOG10(I93))</f>
        <v/>
      </c>
    </row>
    <row r="94">
      <c r="A94" s="6" t="n"/>
      <c r="B94" s="6" t="n"/>
      <c r="C94" s="6" t="n"/>
      <c r="D94" s="6" t="n"/>
      <c r="E94" s="6" t="n"/>
      <c r="F94" s="6" t="n"/>
      <c r="G94" s="6" t="n"/>
      <c r="H94" s="6" t="n"/>
      <c r="I94" s="10">
        <f>IF(OR(G94="",E94="",F94=""),"",G94*F94*1000/E94)</f>
        <v/>
      </c>
      <c r="J94" s="10">
        <f>IF(E94="","",1000/E94)</f>
        <v/>
      </c>
      <c r="K94" s="13">
        <f>IF(OR(I94="",J94=""),"",IF(I94&lt;=J94,"YES","no"))</f>
        <v/>
      </c>
      <c r="L94" s="10">
        <f>IF(OR(I94="",I94&lt;=0),"",LOG10(I94))</f>
        <v/>
      </c>
    </row>
    <row r="95">
      <c r="A95" s="6" t="n"/>
      <c r="B95" s="6" t="n"/>
      <c r="C95" s="6" t="n"/>
      <c r="D95" s="6" t="n"/>
      <c r="E95" s="6" t="n"/>
      <c r="F95" s="6" t="n"/>
      <c r="G95" s="6" t="n"/>
      <c r="H95" s="6" t="n"/>
      <c r="I95" s="10">
        <f>IF(OR(G95="",E95="",F95=""),"",G95*F95*1000/E95)</f>
        <v/>
      </c>
      <c r="J95" s="10">
        <f>IF(E95="","",1000/E95)</f>
        <v/>
      </c>
      <c r="K95" s="13">
        <f>IF(OR(I95="",J95=""),"",IF(I95&lt;=J95,"YES","no"))</f>
        <v/>
      </c>
      <c r="L95" s="10">
        <f>IF(OR(I95="",I95&lt;=0),"",LOG10(I95))</f>
        <v/>
      </c>
    </row>
    <row r="96">
      <c r="A96" s="6" t="n"/>
      <c r="B96" s="6" t="n"/>
      <c r="C96" s="6" t="n"/>
      <c r="D96" s="6" t="n"/>
      <c r="E96" s="6" t="n"/>
      <c r="F96" s="6" t="n"/>
      <c r="G96" s="6" t="n"/>
      <c r="H96" s="6" t="n"/>
      <c r="I96" s="10">
        <f>IF(OR(G96="",E96="",F96=""),"",G96*F96*1000/E96)</f>
        <v/>
      </c>
      <c r="J96" s="10">
        <f>IF(E96="","",1000/E96)</f>
        <v/>
      </c>
      <c r="K96" s="13">
        <f>IF(OR(I96="",J96=""),"",IF(I96&lt;=J96,"YES","no"))</f>
        <v/>
      </c>
      <c r="L96" s="10">
        <f>IF(OR(I96="",I96&lt;=0),"",LOG10(I96))</f>
        <v/>
      </c>
    </row>
    <row r="97">
      <c r="A97" s="6" t="n"/>
      <c r="B97" s="6" t="n"/>
      <c r="C97" s="6" t="n"/>
      <c r="D97" s="6" t="n"/>
      <c r="E97" s="6" t="n"/>
      <c r="F97" s="6" t="n"/>
      <c r="G97" s="6" t="n"/>
      <c r="H97" s="6" t="n"/>
      <c r="I97" s="10">
        <f>IF(OR(G97="",E97="",F97=""),"",G97*F97*1000/E97)</f>
        <v/>
      </c>
      <c r="J97" s="10">
        <f>IF(E97="","",1000/E97)</f>
        <v/>
      </c>
      <c r="K97" s="13">
        <f>IF(OR(I97="",J97=""),"",IF(I97&lt;=J97,"YES","no"))</f>
        <v/>
      </c>
      <c r="L97" s="10">
        <f>IF(OR(I97="",I97&lt;=0),"",LOG10(I97))</f>
        <v/>
      </c>
    </row>
    <row r="98">
      <c r="A98" s="6" t="n"/>
      <c r="B98" s="6" t="n"/>
      <c r="C98" s="6" t="n"/>
      <c r="D98" s="6" t="n"/>
      <c r="E98" s="6" t="n"/>
      <c r="F98" s="6" t="n"/>
      <c r="G98" s="6" t="n"/>
      <c r="H98" s="6" t="n"/>
      <c r="I98" s="10">
        <f>IF(OR(G98="",E98="",F98=""),"",G98*F98*1000/E98)</f>
        <v/>
      </c>
      <c r="J98" s="10">
        <f>IF(E98="","",1000/E98)</f>
        <v/>
      </c>
      <c r="K98" s="13">
        <f>IF(OR(I98="",J98=""),"",IF(I98&lt;=J98,"YES","no"))</f>
        <v/>
      </c>
      <c r="L98" s="10">
        <f>IF(OR(I98="",I98&lt;=0),"",LOG10(I98))</f>
        <v/>
      </c>
    </row>
    <row r="99">
      <c r="A99" s="6" t="n"/>
      <c r="B99" s="6" t="n"/>
      <c r="C99" s="6" t="n"/>
      <c r="D99" s="6" t="n"/>
      <c r="E99" s="6" t="n"/>
      <c r="F99" s="6" t="n"/>
      <c r="G99" s="6" t="n"/>
      <c r="H99" s="6" t="n"/>
      <c r="I99" s="10">
        <f>IF(OR(G99="",E99="",F99=""),"",G99*F99*1000/E99)</f>
        <v/>
      </c>
      <c r="J99" s="10">
        <f>IF(E99="","",1000/E99)</f>
        <v/>
      </c>
      <c r="K99" s="13">
        <f>IF(OR(I99="",J99=""),"",IF(I99&lt;=J99,"YES","no"))</f>
        <v/>
      </c>
      <c r="L99" s="10">
        <f>IF(OR(I99="",I99&lt;=0),"",LOG10(I99))</f>
        <v/>
      </c>
    </row>
    <row r="100">
      <c r="A100" s="6" t="n"/>
      <c r="B100" s="6" t="n"/>
      <c r="C100" s="6" t="n"/>
      <c r="D100" s="6" t="n"/>
      <c r="E100" s="6" t="n"/>
      <c r="F100" s="6" t="n"/>
      <c r="G100" s="6" t="n"/>
      <c r="H100" s="6" t="n"/>
      <c r="I100" s="10">
        <f>IF(OR(G100="",E100="",F100=""),"",G100*F100*1000/E100)</f>
        <v/>
      </c>
      <c r="J100" s="10">
        <f>IF(E100="","",1000/E100)</f>
        <v/>
      </c>
      <c r="K100" s="13">
        <f>IF(OR(I100="",J100=""),"",IF(I100&lt;=J100,"YES","no"))</f>
        <v/>
      </c>
      <c r="L100" s="10">
        <f>IF(OR(I100="",I100&lt;=0),"",LOG10(I100))</f>
        <v/>
      </c>
    </row>
    <row r="101">
      <c r="A101" s="6" t="n"/>
      <c r="B101" s="6" t="n"/>
      <c r="C101" s="6" t="n"/>
      <c r="D101" s="6" t="n"/>
      <c r="E101" s="6" t="n"/>
      <c r="F101" s="6" t="n"/>
      <c r="G101" s="6" t="n"/>
      <c r="H101" s="6" t="n"/>
      <c r="I101" s="10">
        <f>IF(OR(G101="",E101="",F101=""),"",G101*F101*1000/E101)</f>
        <v/>
      </c>
      <c r="J101" s="10">
        <f>IF(E101="","",1000/E101)</f>
        <v/>
      </c>
      <c r="K101" s="13">
        <f>IF(OR(I101="",J101=""),"",IF(I101&lt;=J101,"YES","no"))</f>
        <v/>
      </c>
      <c r="L101" s="10">
        <f>IF(OR(I101="",I101&lt;=0),"",LOG10(I101))</f>
        <v/>
      </c>
    </row>
    <row r="102">
      <c r="A102" s="6" t="n"/>
      <c r="B102" s="6" t="n"/>
      <c r="C102" s="6" t="n"/>
      <c r="D102" s="6" t="n"/>
      <c r="E102" s="6" t="n"/>
      <c r="F102" s="6" t="n"/>
      <c r="G102" s="6" t="n"/>
      <c r="H102" s="6" t="n"/>
      <c r="I102" s="10">
        <f>IF(OR(G102="",E102="",F102=""),"",G102*F102*1000/E102)</f>
        <v/>
      </c>
      <c r="J102" s="10">
        <f>IF(E102="","",1000/E102)</f>
        <v/>
      </c>
      <c r="K102" s="13">
        <f>IF(OR(I102="",J102=""),"",IF(I102&lt;=J102,"YES","no"))</f>
        <v/>
      </c>
      <c r="L102" s="10">
        <f>IF(OR(I102="",I102&lt;=0),"",LOG10(I102))</f>
        <v/>
      </c>
    </row>
    <row r="103">
      <c r="A103" s="6" t="n"/>
      <c r="B103" s="6" t="n"/>
      <c r="C103" s="6" t="n"/>
      <c r="D103" s="6" t="n"/>
      <c r="E103" s="6" t="n"/>
      <c r="F103" s="6" t="n"/>
      <c r="G103" s="6" t="n"/>
      <c r="H103" s="6" t="n"/>
      <c r="I103" s="10">
        <f>IF(OR(G103="",E103="",F103=""),"",G103*F103*1000/E103)</f>
        <v/>
      </c>
      <c r="J103" s="10">
        <f>IF(E103="","",1000/E103)</f>
        <v/>
      </c>
      <c r="K103" s="13">
        <f>IF(OR(I103="",J103=""),"",IF(I103&lt;=J103,"YES","no"))</f>
        <v/>
      </c>
      <c r="L103" s="10">
        <f>IF(OR(I103="",I103&lt;=0),"",LOG10(I103))</f>
        <v/>
      </c>
    </row>
    <row r="104">
      <c r="A104" s="6" t="n"/>
      <c r="B104" s="6" t="n"/>
      <c r="C104" s="6" t="n"/>
      <c r="D104" s="6" t="n"/>
      <c r="E104" s="6" t="n"/>
      <c r="F104" s="6" t="n"/>
      <c r="G104" s="6" t="n"/>
      <c r="H104" s="6" t="n"/>
      <c r="I104" s="10">
        <f>IF(OR(G104="",E104="",F104=""),"",G104*F104*1000/E104)</f>
        <v/>
      </c>
      <c r="J104" s="10">
        <f>IF(E104="","",1000/E104)</f>
        <v/>
      </c>
      <c r="K104" s="13">
        <f>IF(OR(I104="",J104=""),"",IF(I104&lt;=J104,"YES","no"))</f>
        <v/>
      </c>
      <c r="L104" s="10">
        <f>IF(OR(I104="",I104&lt;=0),"",LOG10(I104))</f>
        <v/>
      </c>
    </row>
    <row r="105">
      <c r="A105" s="6" t="n"/>
      <c r="B105" s="6" t="n"/>
      <c r="C105" s="6" t="n"/>
      <c r="D105" s="6" t="n"/>
      <c r="E105" s="6" t="n"/>
      <c r="F105" s="6" t="n"/>
      <c r="G105" s="6" t="n"/>
      <c r="H105" s="6" t="n"/>
      <c r="I105" s="10">
        <f>IF(OR(G105="",E105="",F105=""),"",G105*F105*1000/E105)</f>
        <v/>
      </c>
      <c r="J105" s="10">
        <f>IF(E105="","",1000/E105)</f>
        <v/>
      </c>
      <c r="K105" s="13">
        <f>IF(OR(I105="",J105=""),"",IF(I105&lt;=J105,"YES","no"))</f>
        <v/>
      </c>
      <c r="L105" s="10">
        <f>IF(OR(I105="",I105&lt;=0),"",LOG10(I105))</f>
        <v/>
      </c>
    </row>
    <row r="106">
      <c r="A106" s="6" t="n"/>
      <c r="B106" s="6" t="n"/>
      <c r="C106" s="6" t="n"/>
      <c r="D106" s="6" t="n"/>
      <c r="E106" s="6" t="n"/>
      <c r="F106" s="6" t="n"/>
      <c r="G106" s="6" t="n"/>
      <c r="H106" s="6" t="n"/>
      <c r="I106" s="10">
        <f>IF(OR(G106="",E106="",F106=""),"",G106*F106*1000/E106)</f>
        <v/>
      </c>
      <c r="J106" s="10">
        <f>IF(E106="","",1000/E106)</f>
        <v/>
      </c>
      <c r="K106" s="13">
        <f>IF(OR(I106="",J106=""),"",IF(I106&lt;=J106,"YES","no"))</f>
        <v/>
      </c>
      <c r="L106" s="10">
        <f>IF(OR(I106="",I106&lt;=0),"",LOG10(I106))</f>
        <v/>
      </c>
    </row>
    <row r="107">
      <c r="A107" s="6" t="n"/>
      <c r="B107" s="6" t="n"/>
      <c r="C107" s="6" t="n"/>
      <c r="D107" s="6" t="n"/>
      <c r="E107" s="6" t="n"/>
      <c r="F107" s="6" t="n"/>
      <c r="G107" s="6" t="n"/>
      <c r="H107" s="6" t="n"/>
      <c r="I107" s="10">
        <f>IF(OR(G107="",E107="",F107=""),"",G107*F107*1000/E107)</f>
        <v/>
      </c>
      <c r="J107" s="10">
        <f>IF(E107="","",1000/E107)</f>
        <v/>
      </c>
      <c r="K107" s="13">
        <f>IF(OR(I107="",J107=""),"",IF(I107&lt;=J107,"YES","no"))</f>
        <v/>
      </c>
      <c r="L107" s="10">
        <f>IF(OR(I107="",I107&lt;=0),"",LOG10(I107))</f>
        <v/>
      </c>
    </row>
    <row r="108">
      <c r="A108" s="6" t="n"/>
      <c r="B108" s="6" t="n"/>
      <c r="C108" s="6" t="n"/>
      <c r="D108" s="6" t="n"/>
      <c r="E108" s="6" t="n"/>
      <c r="F108" s="6" t="n"/>
      <c r="G108" s="6" t="n"/>
      <c r="H108" s="6" t="n"/>
      <c r="I108" s="10">
        <f>IF(OR(G108="",E108="",F108=""),"",G108*F108*1000/E108)</f>
        <v/>
      </c>
      <c r="J108" s="10">
        <f>IF(E108="","",1000/E108)</f>
        <v/>
      </c>
      <c r="K108" s="13">
        <f>IF(OR(I108="",J108=""),"",IF(I108&lt;=J108,"YES","no"))</f>
        <v/>
      </c>
      <c r="L108" s="10">
        <f>IF(OR(I108="",I108&lt;=0),"",LOG10(I108))</f>
        <v/>
      </c>
    </row>
    <row r="109">
      <c r="A109" s="6" t="n"/>
      <c r="B109" s="6" t="n"/>
      <c r="C109" s="6" t="n"/>
      <c r="D109" s="6" t="n"/>
      <c r="E109" s="6" t="n"/>
      <c r="F109" s="6" t="n"/>
      <c r="G109" s="6" t="n"/>
      <c r="H109" s="6" t="n"/>
      <c r="I109" s="10">
        <f>IF(OR(G109="",E109="",F109=""),"",G109*F109*1000/E109)</f>
        <v/>
      </c>
      <c r="J109" s="10">
        <f>IF(E109="","",1000/E109)</f>
        <v/>
      </c>
      <c r="K109" s="13">
        <f>IF(OR(I109="",J109=""),"",IF(I109&lt;=J109,"YES","no"))</f>
        <v/>
      </c>
      <c r="L109" s="10">
        <f>IF(OR(I109="",I109&lt;=0),"",LOG10(I109))</f>
        <v/>
      </c>
    </row>
    <row r="110">
      <c r="A110" s="6" t="n"/>
      <c r="B110" s="6" t="n"/>
      <c r="C110" s="6" t="n"/>
      <c r="D110" s="6" t="n"/>
      <c r="E110" s="6" t="n"/>
      <c r="F110" s="6" t="n"/>
      <c r="G110" s="6" t="n"/>
      <c r="H110" s="6" t="n"/>
      <c r="I110" s="10">
        <f>IF(OR(G110="",E110="",F110=""),"",G110*F110*1000/E110)</f>
        <v/>
      </c>
      <c r="J110" s="10">
        <f>IF(E110="","",1000/E110)</f>
        <v/>
      </c>
      <c r="K110" s="13">
        <f>IF(OR(I110="",J110=""),"",IF(I110&lt;=J110,"YES","no"))</f>
        <v/>
      </c>
      <c r="L110" s="10">
        <f>IF(OR(I110="",I110&lt;=0),"",LOG10(I110))</f>
        <v/>
      </c>
    </row>
    <row r="111">
      <c r="A111" s="6" t="n"/>
      <c r="B111" s="6" t="n"/>
      <c r="C111" s="6" t="n"/>
      <c r="D111" s="6" t="n"/>
      <c r="E111" s="6" t="n"/>
      <c r="F111" s="6" t="n"/>
      <c r="G111" s="6" t="n"/>
      <c r="H111" s="6" t="n"/>
      <c r="I111" s="10">
        <f>IF(OR(G111="",E111="",F111=""),"",G111*F111*1000/E111)</f>
        <v/>
      </c>
      <c r="J111" s="10">
        <f>IF(E111="","",1000/E111)</f>
        <v/>
      </c>
      <c r="K111" s="13">
        <f>IF(OR(I111="",J111=""),"",IF(I111&lt;=J111,"YES","no"))</f>
        <v/>
      </c>
      <c r="L111" s="10">
        <f>IF(OR(I111="",I111&lt;=0),"",LOG10(I111))</f>
        <v/>
      </c>
    </row>
    <row r="112">
      <c r="A112" s="6" t="n"/>
      <c r="B112" s="6" t="n"/>
      <c r="C112" s="6" t="n"/>
      <c r="D112" s="6" t="n"/>
      <c r="E112" s="6" t="n"/>
      <c r="F112" s="6" t="n"/>
      <c r="G112" s="6" t="n"/>
      <c r="H112" s="6" t="n"/>
      <c r="I112" s="10">
        <f>IF(OR(G112="",E112="",F112=""),"",G112*F112*1000/E112)</f>
        <v/>
      </c>
      <c r="J112" s="10">
        <f>IF(E112="","",1000/E112)</f>
        <v/>
      </c>
      <c r="K112" s="13">
        <f>IF(OR(I112="",J112=""),"",IF(I112&lt;=J112,"YES","no"))</f>
        <v/>
      </c>
      <c r="L112" s="10">
        <f>IF(OR(I112="",I112&lt;=0),"",LOG10(I112))</f>
        <v/>
      </c>
    </row>
    <row r="113">
      <c r="A113" s="6" t="n"/>
      <c r="B113" s="6" t="n"/>
      <c r="C113" s="6" t="n"/>
      <c r="D113" s="6" t="n"/>
      <c r="E113" s="6" t="n"/>
      <c r="F113" s="6" t="n"/>
      <c r="G113" s="6" t="n"/>
      <c r="H113" s="6" t="n"/>
      <c r="I113" s="10">
        <f>IF(OR(G113="",E113="",F113=""),"",G113*F113*1000/E113)</f>
        <v/>
      </c>
      <c r="J113" s="10">
        <f>IF(E113="","",1000/E113)</f>
        <v/>
      </c>
      <c r="K113" s="13">
        <f>IF(OR(I113="",J113=""),"",IF(I113&lt;=J113,"YES","no"))</f>
        <v/>
      </c>
      <c r="L113" s="10">
        <f>IF(OR(I113="",I113&lt;=0),"",LOG10(I113))</f>
        <v/>
      </c>
    </row>
    <row r="114">
      <c r="A114" s="6" t="n"/>
      <c r="B114" s="6" t="n"/>
      <c r="C114" s="6" t="n"/>
      <c r="D114" s="6" t="n"/>
      <c r="E114" s="6" t="n"/>
      <c r="F114" s="6" t="n"/>
      <c r="G114" s="6" t="n"/>
      <c r="H114" s="6" t="n"/>
      <c r="I114" s="10">
        <f>IF(OR(G114="",E114="",F114=""),"",G114*F114*1000/E114)</f>
        <v/>
      </c>
      <c r="J114" s="10">
        <f>IF(E114="","",1000/E114)</f>
        <v/>
      </c>
      <c r="K114" s="13">
        <f>IF(OR(I114="",J114=""),"",IF(I114&lt;=J114,"YES","no"))</f>
        <v/>
      </c>
      <c r="L114" s="10">
        <f>IF(OR(I114="",I114&lt;=0),"",LOG10(I114))</f>
        <v/>
      </c>
    </row>
    <row r="115">
      <c r="A115" s="6" t="n"/>
      <c r="B115" s="6" t="n"/>
      <c r="C115" s="6" t="n"/>
      <c r="D115" s="6" t="n"/>
      <c r="E115" s="6" t="n"/>
      <c r="F115" s="6" t="n"/>
      <c r="G115" s="6" t="n"/>
      <c r="H115" s="6" t="n"/>
      <c r="I115" s="10">
        <f>IF(OR(G115="",E115="",F115=""),"",G115*F115*1000/E115)</f>
        <v/>
      </c>
      <c r="J115" s="10">
        <f>IF(E115="","",1000/E115)</f>
        <v/>
      </c>
      <c r="K115" s="13">
        <f>IF(OR(I115="",J115=""),"",IF(I115&lt;=J115,"YES","no"))</f>
        <v/>
      </c>
      <c r="L115" s="10">
        <f>IF(OR(I115="",I115&lt;=0),"",LOG10(I115))</f>
        <v/>
      </c>
    </row>
    <row r="116">
      <c r="A116" s="6" t="n"/>
      <c r="B116" s="6" t="n"/>
      <c r="C116" s="6" t="n"/>
      <c r="D116" s="6" t="n"/>
      <c r="E116" s="6" t="n"/>
      <c r="F116" s="6" t="n"/>
      <c r="G116" s="6" t="n"/>
      <c r="H116" s="6" t="n"/>
      <c r="I116" s="10">
        <f>IF(OR(G116="",E116="",F116=""),"",G116*F116*1000/E116)</f>
        <v/>
      </c>
      <c r="J116" s="10">
        <f>IF(E116="","",1000/E116)</f>
        <v/>
      </c>
      <c r="K116" s="13">
        <f>IF(OR(I116="",J116=""),"",IF(I116&lt;=J116,"YES","no"))</f>
        <v/>
      </c>
      <c r="L116" s="10">
        <f>IF(OR(I116="",I116&lt;=0),"",LOG10(I116))</f>
        <v/>
      </c>
    </row>
    <row r="117">
      <c r="A117" s="6" t="n"/>
      <c r="B117" s="6" t="n"/>
      <c r="C117" s="6" t="n"/>
      <c r="D117" s="6" t="n"/>
      <c r="E117" s="6" t="n"/>
      <c r="F117" s="6" t="n"/>
      <c r="G117" s="6" t="n"/>
      <c r="H117" s="6" t="n"/>
      <c r="I117" s="10">
        <f>IF(OR(G117="",E117="",F117=""),"",G117*F117*1000/E117)</f>
        <v/>
      </c>
      <c r="J117" s="10">
        <f>IF(E117="","",1000/E117)</f>
        <v/>
      </c>
      <c r="K117" s="13">
        <f>IF(OR(I117="",J117=""),"",IF(I117&lt;=J117,"YES","no"))</f>
        <v/>
      </c>
      <c r="L117" s="10">
        <f>IF(OR(I117="",I117&lt;=0),"",LOG10(I117))</f>
        <v/>
      </c>
    </row>
    <row r="118">
      <c r="A118" s="6" t="n"/>
      <c r="B118" s="6" t="n"/>
      <c r="C118" s="6" t="n"/>
      <c r="D118" s="6" t="n"/>
      <c r="E118" s="6" t="n"/>
      <c r="F118" s="6" t="n"/>
      <c r="G118" s="6" t="n"/>
      <c r="H118" s="6" t="n"/>
      <c r="I118" s="10">
        <f>IF(OR(G118="",E118="",F118=""),"",G118*F118*1000/E118)</f>
        <v/>
      </c>
      <c r="J118" s="10">
        <f>IF(E118="","",1000/E118)</f>
        <v/>
      </c>
      <c r="K118" s="13">
        <f>IF(OR(I118="",J118=""),"",IF(I118&lt;=J118,"YES","no"))</f>
        <v/>
      </c>
      <c r="L118" s="10">
        <f>IF(OR(I118="",I118&lt;=0),"",LOG10(I118))</f>
        <v/>
      </c>
    </row>
    <row r="119">
      <c r="A119" s="6" t="n"/>
      <c r="B119" s="6" t="n"/>
      <c r="C119" s="6" t="n"/>
      <c r="D119" s="6" t="n"/>
      <c r="E119" s="6" t="n"/>
      <c r="F119" s="6" t="n"/>
      <c r="G119" s="6" t="n"/>
      <c r="H119" s="6" t="n"/>
      <c r="I119" s="10">
        <f>IF(OR(G119="",E119="",F119=""),"",G119*F119*1000/E119)</f>
        <v/>
      </c>
      <c r="J119" s="10">
        <f>IF(E119="","",1000/E119)</f>
        <v/>
      </c>
      <c r="K119" s="13">
        <f>IF(OR(I119="",J119=""),"",IF(I119&lt;=J119,"YES","no"))</f>
        <v/>
      </c>
      <c r="L119" s="10">
        <f>IF(OR(I119="",I119&lt;=0),"",LOG10(I119))</f>
        <v/>
      </c>
    </row>
    <row r="120">
      <c r="A120" s="6" t="n"/>
      <c r="B120" s="6" t="n"/>
      <c r="C120" s="6" t="n"/>
      <c r="D120" s="6" t="n"/>
      <c r="E120" s="6" t="n"/>
      <c r="F120" s="6" t="n"/>
      <c r="G120" s="6" t="n"/>
      <c r="H120" s="6" t="n"/>
      <c r="I120" s="10">
        <f>IF(OR(G120="",E120="",F120=""),"",G120*F120*1000/E120)</f>
        <v/>
      </c>
      <c r="J120" s="10">
        <f>IF(E120="","",1000/E120)</f>
        <v/>
      </c>
      <c r="K120" s="13">
        <f>IF(OR(I120="",J120=""),"",IF(I120&lt;=J120,"YES","no"))</f>
        <v/>
      </c>
      <c r="L120" s="10">
        <f>IF(OR(I120="",I120&lt;=0),"",LOG10(I120))</f>
        <v/>
      </c>
    </row>
    <row r="121">
      <c r="A121" s="6" t="n"/>
      <c r="B121" s="6" t="n"/>
      <c r="C121" s="6" t="n"/>
      <c r="D121" s="6" t="n"/>
      <c r="E121" s="6" t="n"/>
      <c r="F121" s="6" t="n"/>
      <c r="G121" s="6" t="n"/>
      <c r="H121" s="6" t="n"/>
      <c r="I121" s="10">
        <f>IF(OR(G121="",E121="",F121=""),"",G121*F121*1000/E121)</f>
        <v/>
      </c>
      <c r="J121" s="10">
        <f>IF(E121="","",1000/E121)</f>
        <v/>
      </c>
      <c r="K121" s="13">
        <f>IF(OR(I121="",J121=""),"",IF(I121&lt;=J121,"YES","no"))</f>
        <v/>
      </c>
      <c r="L121" s="10">
        <f>IF(OR(I121="",I121&lt;=0),"",LOG10(I121))</f>
        <v/>
      </c>
    </row>
    <row r="122">
      <c r="A122" s="6" t="n"/>
      <c r="B122" s="6" t="n"/>
      <c r="C122" s="6" t="n"/>
      <c r="D122" s="6" t="n"/>
      <c r="E122" s="6" t="n"/>
      <c r="F122" s="6" t="n"/>
      <c r="G122" s="6" t="n"/>
      <c r="H122" s="6" t="n"/>
      <c r="I122" s="10">
        <f>IF(OR(G122="",E122="",F122=""),"",G122*F122*1000/E122)</f>
        <v/>
      </c>
      <c r="J122" s="10">
        <f>IF(E122="","",1000/E122)</f>
        <v/>
      </c>
      <c r="K122" s="13">
        <f>IF(OR(I122="",J122=""),"",IF(I122&lt;=J122,"YES","no"))</f>
        <v/>
      </c>
      <c r="L122" s="10">
        <f>IF(OR(I122="",I122&lt;=0),"",LOG10(I122))</f>
        <v/>
      </c>
    </row>
    <row r="123">
      <c r="A123" s="6" t="n"/>
      <c r="B123" s="6" t="n"/>
      <c r="C123" s="6" t="n"/>
      <c r="D123" s="6" t="n"/>
      <c r="E123" s="6" t="n"/>
      <c r="F123" s="6" t="n"/>
      <c r="G123" s="6" t="n"/>
      <c r="H123" s="6" t="n"/>
      <c r="I123" s="10">
        <f>IF(OR(G123="",E123="",F123=""),"",G123*F123*1000/E123)</f>
        <v/>
      </c>
      <c r="J123" s="10">
        <f>IF(E123="","",1000/E123)</f>
        <v/>
      </c>
      <c r="K123" s="13">
        <f>IF(OR(I123="",J123=""),"",IF(I123&lt;=J123,"YES","no"))</f>
        <v/>
      </c>
      <c r="L123" s="10">
        <f>IF(OR(I123="",I123&lt;=0),"",LOG10(I123))</f>
        <v/>
      </c>
    </row>
    <row r="124">
      <c r="A124" s="6" t="n"/>
      <c r="B124" s="6" t="n"/>
      <c r="C124" s="6" t="n"/>
      <c r="D124" s="6" t="n"/>
      <c r="E124" s="6" t="n"/>
      <c r="F124" s="6" t="n"/>
      <c r="G124" s="6" t="n"/>
      <c r="H124" s="6" t="n"/>
      <c r="I124" s="10">
        <f>IF(OR(G124="",E124="",F124=""),"",G124*F124*1000/E124)</f>
        <v/>
      </c>
      <c r="J124" s="10">
        <f>IF(E124="","",1000/E124)</f>
        <v/>
      </c>
      <c r="K124" s="13">
        <f>IF(OR(I124="",J124=""),"",IF(I124&lt;=J124,"YES","no"))</f>
        <v/>
      </c>
      <c r="L124" s="10">
        <f>IF(OR(I124="",I124&lt;=0),"",LOG10(I124))</f>
        <v/>
      </c>
    </row>
    <row r="125">
      <c r="A125" s="6" t="n"/>
      <c r="B125" s="6" t="n"/>
      <c r="C125" s="6" t="n"/>
      <c r="D125" s="6" t="n"/>
      <c r="E125" s="6" t="n"/>
      <c r="F125" s="6" t="n"/>
      <c r="G125" s="6" t="n"/>
      <c r="H125" s="6" t="n"/>
      <c r="I125" s="10">
        <f>IF(OR(G125="",E125="",F125=""),"",G125*F125*1000/E125)</f>
        <v/>
      </c>
      <c r="J125" s="10">
        <f>IF(E125="","",1000/E125)</f>
        <v/>
      </c>
      <c r="K125" s="13">
        <f>IF(OR(I125="",J125=""),"",IF(I125&lt;=J125,"YES","no"))</f>
        <v/>
      </c>
      <c r="L125" s="10">
        <f>IF(OR(I125="",I125&lt;=0),"",LOG10(I125))</f>
        <v/>
      </c>
    </row>
    <row r="126">
      <c r="A126" s="6" t="n"/>
      <c r="B126" s="6" t="n"/>
      <c r="C126" s="6" t="n"/>
      <c r="D126" s="6" t="n"/>
      <c r="E126" s="6" t="n"/>
      <c r="F126" s="6" t="n"/>
      <c r="G126" s="6" t="n"/>
      <c r="H126" s="6" t="n"/>
      <c r="I126" s="10">
        <f>IF(OR(G126="",E126="",F126=""),"",G126*F126*1000/E126)</f>
        <v/>
      </c>
      <c r="J126" s="10">
        <f>IF(E126="","",1000/E126)</f>
        <v/>
      </c>
      <c r="K126" s="13">
        <f>IF(OR(I126="",J126=""),"",IF(I126&lt;=J126,"YES","no"))</f>
        <v/>
      </c>
      <c r="L126" s="10">
        <f>IF(OR(I126="",I126&lt;=0),"",LOG10(I126))</f>
        <v/>
      </c>
    </row>
    <row r="127">
      <c r="A127" s="6" t="n"/>
      <c r="B127" s="6" t="n"/>
      <c r="C127" s="6" t="n"/>
      <c r="D127" s="6" t="n"/>
      <c r="E127" s="6" t="n"/>
      <c r="F127" s="6" t="n"/>
      <c r="G127" s="6" t="n"/>
      <c r="H127" s="6" t="n"/>
      <c r="I127" s="10">
        <f>IF(OR(G127="",E127="",F127=""),"",G127*F127*1000/E127)</f>
        <v/>
      </c>
      <c r="J127" s="10">
        <f>IF(E127="","",1000/E127)</f>
        <v/>
      </c>
      <c r="K127" s="13">
        <f>IF(OR(I127="",J127=""),"",IF(I127&lt;=J127,"YES","no"))</f>
        <v/>
      </c>
      <c r="L127" s="10">
        <f>IF(OR(I127="",I127&lt;=0),"",LOG10(I127))</f>
        <v/>
      </c>
    </row>
    <row r="128">
      <c r="A128" s="6" t="n"/>
      <c r="B128" s="6" t="n"/>
      <c r="C128" s="6" t="n"/>
      <c r="D128" s="6" t="n"/>
      <c r="E128" s="6" t="n"/>
      <c r="F128" s="6" t="n"/>
      <c r="G128" s="6" t="n"/>
      <c r="H128" s="6" t="n"/>
      <c r="I128" s="10">
        <f>IF(OR(G128="",E128="",F128=""),"",G128*F128*1000/E128)</f>
        <v/>
      </c>
      <c r="J128" s="10">
        <f>IF(E128="","",1000/E128)</f>
        <v/>
      </c>
      <c r="K128" s="13">
        <f>IF(OR(I128="",J128=""),"",IF(I128&lt;=J128,"YES","no"))</f>
        <v/>
      </c>
      <c r="L128" s="10">
        <f>IF(OR(I128="",I128&lt;=0),"",LOG10(I128))</f>
        <v/>
      </c>
    </row>
    <row r="129">
      <c r="A129" s="6" t="n"/>
      <c r="B129" s="6" t="n"/>
      <c r="C129" s="6" t="n"/>
      <c r="D129" s="6" t="n"/>
      <c r="E129" s="6" t="n"/>
      <c r="F129" s="6" t="n"/>
      <c r="G129" s="6" t="n"/>
      <c r="H129" s="6" t="n"/>
      <c r="I129" s="10">
        <f>IF(OR(G129="",E129="",F129=""),"",G129*F129*1000/E129)</f>
        <v/>
      </c>
      <c r="J129" s="10">
        <f>IF(E129="","",1000/E129)</f>
        <v/>
      </c>
      <c r="K129" s="13">
        <f>IF(OR(I129="",J129=""),"",IF(I129&lt;=J129,"YES","no"))</f>
        <v/>
      </c>
      <c r="L129" s="10">
        <f>IF(OR(I129="",I129&lt;=0),"",LOG10(I129))</f>
        <v/>
      </c>
    </row>
    <row r="130">
      <c r="A130" s="6" t="n"/>
      <c r="B130" s="6" t="n"/>
      <c r="C130" s="6" t="n"/>
      <c r="D130" s="6" t="n"/>
      <c r="E130" s="6" t="n"/>
      <c r="F130" s="6" t="n"/>
      <c r="G130" s="6" t="n"/>
      <c r="H130" s="6" t="n"/>
      <c r="I130" s="10">
        <f>IF(OR(G130="",E130="",F130=""),"",G130*F130*1000/E130)</f>
        <v/>
      </c>
      <c r="J130" s="10">
        <f>IF(E130="","",1000/E130)</f>
        <v/>
      </c>
      <c r="K130" s="13">
        <f>IF(OR(I130="",J130=""),"",IF(I130&lt;=J130,"YES","no"))</f>
        <v/>
      </c>
      <c r="L130" s="10">
        <f>IF(OR(I130="",I130&lt;=0),"",LOG10(I130))</f>
        <v/>
      </c>
    </row>
    <row r="131">
      <c r="A131" s="6" t="n"/>
      <c r="B131" s="6" t="n"/>
      <c r="C131" s="6" t="n"/>
      <c r="D131" s="6" t="n"/>
      <c r="E131" s="6" t="n"/>
      <c r="F131" s="6" t="n"/>
      <c r="G131" s="6" t="n"/>
      <c r="H131" s="6" t="n"/>
      <c r="I131" s="10">
        <f>IF(OR(G131="",E131="",F131=""),"",G131*F131*1000/E131)</f>
        <v/>
      </c>
      <c r="J131" s="10">
        <f>IF(E131="","",1000/E131)</f>
        <v/>
      </c>
      <c r="K131" s="13">
        <f>IF(OR(I131="",J131=""),"",IF(I131&lt;=J131,"YES","no"))</f>
        <v/>
      </c>
      <c r="L131" s="10">
        <f>IF(OR(I131="",I131&lt;=0),"",LOG10(I131))</f>
        <v/>
      </c>
    </row>
    <row r="132">
      <c r="A132" s="6" t="n"/>
      <c r="B132" s="6" t="n"/>
      <c r="C132" s="6" t="n"/>
      <c r="D132" s="6" t="n"/>
      <c r="E132" s="6" t="n"/>
      <c r="F132" s="6" t="n"/>
      <c r="G132" s="6" t="n"/>
      <c r="H132" s="6" t="n"/>
      <c r="I132" s="10">
        <f>IF(OR(G132="",E132="",F132=""),"",G132*F132*1000/E132)</f>
        <v/>
      </c>
      <c r="J132" s="10">
        <f>IF(E132="","",1000/E132)</f>
        <v/>
      </c>
      <c r="K132" s="13">
        <f>IF(OR(I132="",J132=""),"",IF(I132&lt;=J132,"YES","no"))</f>
        <v/>
      </c>
      <c r="L132" s="10">
        <f>IF(OR(I132="",I132&lt;=0),"",LOG10(I132))</f>
        <v/>
      </c>
    </row>
    <row r="133">
      <c r="A133" s="6" t="n"/>
      <c r="B133" s="6" t="n"/>
      <c r="C133" s="6" t="n"/>
      <c r="D133" s="6" t="n"/>
      <c r="E133" s="6" t="n"/>
      <c r="F133" s="6" t="n"/>
      <c r="G133" s="6" t="n"/>
      <c r="H133" s="6" t="n"/>
      <c r="I133" s="10">
        <f>IF(OR(G133="",E133="",F133=""),"",G133*F133*1000/E133)</f>
        <v/>
      </c>
      <c r="J133" s="10">
        <f>IF(E133="","",1000/E133)</f>
        <v/>
      </c>
      <c r="K133" s="13">
        <f>IF(OR(I133="",J133=""),"",IF(I133&lt;=J133,"YES","no"))</f>
        <v/>
      </c>
      <c r="L133" s="10">
        <f>IF(OR(I133="",I133&lt;=0),"",LOG10(I133))</f>
        <v/>
      </c>
    </row>
    <row r="134">
      <c r="A134" s="6" t="n"/>
      <c r="B134" s="6" t="n"/>
      <c r="C134" s="6" t="n"/>
      <c r="D134" s="6" t="n"/>
      <c r="E134" s="6" t="n"/>
      <c r="F134" s="6" t="n"/>
      <c r="G134" s="6" t="n"/>
      <c r="H134" s="6" t="n"/>
      <c r="I134" s="10">
        <f>IF(OR(G134="",E134="",F134=""),"",G134*F134*1000/E134)</f>
        <v/>
      </c>
      <c r="J134" s="10">
        <f>IF(E134="","",1000/E134)</f>
        <v/>
      </c>
      <c r="K134" s="13">
        <f>IF(OR(I134="",J134=""),"",IF(I134&lt;=J134,"YES","no"))</f>
        <v/>
      </c>
      <c r="L134" s="10">
        <f>IF(OR(I134="",I134&lt;=0),"",LOG10(I134))</f>
        <v/>
      </c>
    </row>
    <row r="135">
      <c r="A135" s="6" t="n"/>
      <c r="B135" s="6" t="n"/>
      <c r="C135" s="6" t="n"/>
      <c r="D135" s="6" t="n"/>
      <c r="E135" s="6" t="n"/>
      <c r="F135" s="6" t="n"/>
      <c r="G135" s="6" t="n"/>
      <c r="H135" s="6" t="n"/>
      <c r="I135" s="10">
        <f>IF(OR(G135="",E135="",F135=""),"",G135*F135*1000/E135)</f>
        <v/>
      </c>
      <c r="J135" s="10">
        <f>IF(E135="","",1000/E135)</f>
        <v/>
      </c>
      <c r="K135" s="13">
        <f>IF(OR(I135="",J135=""),"",IF(I135&lt;=J135,"YES","no"))</f>
        <v/>
      </c>
      <c r="L135" s="10">
        <f>IF(OR(I135="",I135&lt;=0),"",LOG10(I135))</f>
        <v/>
      </c>
    </row>
    <row r="136">
      <c r="A136" s="6" t="n"/>
      <c r="B136" s="6" t="n"/>
      <c r="C136" s="6" t="n"/>
      <c r="D136" s="6" t="n"/>
      <c r="E136" s="6" t="n"/>
      <c r="F136" s="6" t="n"/>
      <c r="G136" s="6" t="n"/>
      <c r="H136" s="6" t="n"/>
      <c r="I136" s="10">
        <f>IF(OR(G136="",E136="",F136=""),"",G136*F136*1000/E136)</f>
        <v/>
      </c>
      <c r="J136" s="10">
        <f>IF(E136="","",1000/E136)</f>
        <v/>
      </c>
      <c r="K136" s="13">
        <f>IF(OR(I136="",J136=""),"",IF(I136&lt;=J136,"YES","no"))</f>
        <v/>
      </c>
      <c r="L136" s="10">
        <f>IF(OR(I136="",I136&lt;=0),"",LOG10(I136))</f>
        <v/>
      </c>
    </row>
    <row r="137">
      <c r="A137" s="6" t="n"/>
      <c r="B137" s="6" t="n"/>
      <c r="C137" s="6" t="n"/>
      <c r="D137" s="6" t="n"/>
      <c r="E137" s="6" t="n"/>
      <c r="F137" s="6" t="n"/>
      <c r="G137" s="6" t="n"/>
      <c r="H137" s="6" t="n"/>
      <c r="I137" s="10">
        <f>IF(OR(G137="",E137="",F137=""),"",G137*F137*1000/E137)</f>
        <v/>
      </c>
      <c r="J137" s="10">
        <f>IF(E137="","",1000/E137)</f>
        <v/>
      </c>
      <c r="K137" s="13">
        <f>IF(OR(I137="",J137=""),"",IF(I137&lt;=J137,"YES","no"))</f>
        <v/>
      </c>
      <c r="L137" s="10">
        <f>IF(OR(I137="",I137&lt;=0),"",LOG10(I137))</f>
        <v/>
      </c>
    </row>
    <row r="138">
      <c r="A138" s="6" t="n"/>
      <c r="B138" s="6" t="n"/>
      <c r="C138" s="6" t="n"/>
      <c r="D138" s="6" t="n"/>
      <c r="E138" s="6" t="n"/>
      <c r="F138" s="6" t="n"/>
      <c r="G138" s="6" t="n"/>
      <c r="H138" s="6" t="n"/>
      <c r="I138" s="10">
        <f>IF(OR(G138="",E138="",F138=""),"",G138*F138*1000/E138)</f>
        <v/>
      </c>
      <c r="J138" s="10">
        <f>IF(E138="","",1000/E138)</f>
        <v/>
      </c>
      <c r="K138" s="13">
        <f>IF(OR(I138="",J138=""),"",IF(I138&lt;=J138,"YES","no"))</f>
        <v/>
      </c>
      <c r="L138" s="10">
        <f>IF(OR(I138="",I138&lt;=0),"",LOG10(I138))</f>
        <v/>
      </c>
    </row>
    <row r="139">
      <c r="A139" s="6" t="n"/>
      <c r="B139" s="6" t="n"/>
      <c r="C139" s="6" t="n"/>
      <c r="D139" s="6" t="n"/>
      <c r="E139" s="6" t="n"/>
      <c r="F139" s="6" t="n"/>
      <c r="G139" s="6" t="n"/>
      <c r="H139" s="6" t="n"/>
      <c r="I139" s="10">
        <f>IF(OR(G139="",E139="",F139=""),"",G139*F139*1000/E139)</f>
        <v/>
      </c>
      <c r="J139" s="10">
        <f>IF(E139="","",1000/E139)</f>
        <v/>
      </c>
      <c r="K139" s="13">
        <f>IF(OR(I139="",J139=""),"",IF(I139&lt;=J139,"YES","no"))</f>
        <v/>
      </c>
      <c r="L139" s="10">
        <f>IF(OR(I139="",I139&lt;=0),"",LOG10(I139))</f>
        <v/>
      </c>
    </row>
    <row r="140">
      <c r="A140" s="6" t="n"/>
      <c r="B140" s="6" t="n"/>
      <c r="C140" s="6" t="n"/>
      <c r="D140" s="6" t="n"/>
      <c r="E140" s="6" t="n"/>
      <c r="F140" s="6" t="n"/>
      <c r="G140" s="6" t="n"/>
      <c r="H140" s="6" t="n"/>
      <c r="I140" s="10">
        <f>IF(OR(G140="",E140="",F140=""),"",G140*F140*1000/E140)</f>
        <v/>
      </c>
      <c r="J140" s="10">
        <f>IF(E140="","",1000/E140)</f>
        <v/>
      </c>
      <c r="K140" s="13">
        <f>IF(OR(I140="",J140=""),"",IF(I140&lt;=J140,"YES","no"))</f>
        <v/>
      </c>
      <c r="L140" s="10">
        <f>IF(OR(I140="",I140&lt;=0),"",LOG10(I140))</f>
        <v/>
      </c>
    </row>
    <row r="141">
      <c r="A141" s="6" t="n"/>
      <c r="B141" s="6" t="n"/>
      <c r="C141" s="6" t="n"/>
      <c r="D141" s="6" t="n"/>
      <c r="E141" s="6" t="n"/>
      <c r="F141" s="6" t="n"/>
      <c r="G141" s="6" t="n"/>
      <c r="H141" s="6" t="n"/>
      <c r="I141" s="10">
        <f>IF(OR(G141="",E141="",F141=""),"",G141*F141*1000/E141)</f>
        <v/>
      </c>
      <c r="J141" s="10">
        <f>IF(E141="","",1000/E141)</f>
        <v/>
      </c>
      <c r="K141" s="13">
        <f>IF(OR(I141="",J141=""),"",IF(I141&lt;=J141,"YES","no"))</f>
        <v/>
      </c>
      <c r="L141" s="10">
        <f>IF(OR(I141="",I141&lt;=0),"",LOG10(I141))</f>
        <v/>
      </c>
    </row>
    <row r="142">
      <c r="A142" s="6" t="n"/>
      <c r="B142" s="6" t="n"/>
      <c r="C142" s="6" t="n"/>
      <c r="D142" s="6" t="n"/>
      <c r="E142" s="6" t="n"/>
      <c r="F142" s="6" t="n"/>
      <c r="G142" s="6" t="n"/>
      <c r="H142" s="6" t="n"/>
      <c r="I142" s="10">
        <f>IF(OR(G142="",E142="",F142=""),"",G142*F142*1000/E142)</f>
        <v/>
      </c>
      <c r="J142" s="10">
        <f>IF(E142="","",1000/E142)</f>
        <v/>
      </c>
      <c r="K142" s="13">
        <f>IF(OR(I142="",J142=""),"",IF(I142&lt;=J142,"YES","no"))</f>
        <v/>
      </c>
      <c r="L142" s="10">
        <f>IF(OR(I142="",I142&lt;=0),"",LOG10(I142))</f>
        <v/>
      </c>
    </row>
    <row r="143">
      <c r="A143" s="6" t="n"/>
      <c r="B143" s="6" t="n"/>
      <c r="C143" s="6" t="n"/>
      <c r="D143" s="6" t="n"/>
      <c r="E143" s="6" t="n"/>
      <c r="F143" s="6" t="n"/>
      <c r="G143" s="6" t="n"/>
      <c r="H143" s="6" t="n"/>
      <c r="I143" s="10">
        <f>IF(OR(G143="",E143="",F143=""),"",G143*F143*1000/E143)</f>
        <v/>
      </c>
      <c r="J143" s="10">
        <f>IF(E143="","",1000/E143)</f>
        <v/>
      </c>
      <c r="K143" s="13">
        <f>IF(OR(I143="",J143=""),"",IF(I143&lt;=J143,"YES","no"))</f>
        <v/>
      </c>
      <c r="L143" s="10">
        <f>IF(OR(I143="",I143&lt;=0),"",LOG10(I143))</f>
        <v/>
      </c>
    </row>
    <row r="144">
      <c r="A144" s="6" t="n"/>
      <c r="B144" s="6" t="n"/>
      <c r="C144" s="6" t="n"/>
      <c r="D144" s="6" t="n"/>
      <c r="E144" s="6" t="n"/>
      <c r="F144" s="6" t="n"/>
      <c r="G144" s="6" t="n"/>
      <c r="H144" s="6" t="n"/>
      <c r="I144" s="10">
        <f>IF(OR(G144="",E144="",F144=""),"",G144*F144*1000/E144)</f>
        <v/>
      </c>
      <c r="J144" s="10">
        <f>IF(E144="","",1000/E144)</f>
        <v/>
      </c>
      <c r="K144" s="13">
        <f>IF(OR(I144="",J144=""),"",IF(I144&lt;=J144,"YES","no"))</f>
        <v/>
      </c>
      <c r="L144" s="10">
        <f>IF(OR(I144="",I144&lt;=0),"",LOG10(I144))</f>
        <v/>
      </c>
    </row>
    <row r="145">
      <c r="A145" s="6" t="n"/>
      <c r="B145" s="6" t="n"/>
      <c r="C145" s="6" t="n"/>
      <c r="D145" s="6" t="n"/>
      <c r="E145" s="6" t="n"/>
      <c r="F145" s="6" t="n"/>
      <c r="G145" s="6" t="n"/>
      <c r="H145" s="6" t="n"/>
      <c r="I145" s="10">
        <f>IF(OR(G145="",E145="",F145=""),"",G145*F145*1000/E145)</f>
        <v/>
      </c>
      <c r="J145" s="10">
        <f>IF(E145="","",1000/E145)</f>
        <v/>
      </c>
      <c r="K145" s="13">
        <f>IF(OR(I145="",J145=""),"",IF(I145&lt;=J145,"YES","no"))</f>
        <v/>
      </c>
      <c r="L145" s="10">
        <f>IF(OR(I145="",I145&lt;=0),"",LOG10(I145))</f>
        <v/>
      </c>
    </row>
    <row r="146">
      <c r="A146" s="6" t="n"/>
      <c r="B146" s="6" t="n"/>
      <c r="C146" s="6" t="n"/>
      <c r="D146" s="6" t="n"/>
      <c r="E146" s="6" t="n"/>
      <c r="F146" s="6" t="n"/>
      <c r="G146" s="6" t="n"/>
      <c r="H146" s="6" t="n"/>
      <c r="I146" s="10">
        <f>IF(OR(G146="",E146="",F146=""),"",G146*F146*1000/E146)</f>
        <v/>
      </c>
      <c r="J146" s="10">
        <f>IF(E146="","",1000/E146)</f>
        <v/>
      </c>
      <c r="K146" s="13">
        <f>IF(OR(I146="",J146=""),"",IF(I146&lt;=J146,"YES","no"))</f>
        <v/>
      </c>
      <c r="L146" s="10">
        <f>IF(OR(I146="",I146&lt;=0),"",LOG10(I146))</f>
        <v/>
      </c>
    </row>
    <row r="147">
      <c r="A147" s="6" t="n"/>
      <c r="B147" s="6" t="n"/>
      <c r="C147" s="6" t="n"/>
      <c r="D147" s="6" t="n"/>
      <c r="E147" s="6" t="n"/>
      <c r="F147" s="6" t="n"/>
      <c r="G147" s="6" t="n"/>
      <c r="H147" s="6" t="n"/>
      <c r="I147" s="10">
        <f>IF(OR(G147="",E147="",F147=""),"",G147*F147*1000/E147)</f>
        <v/>
      </c>
      <c r="J147" s="10">
        <f>IF(E147="","",1000/E147)</f>
        <v/>
      </c>
      <c r="K147" s="13">
        <f>IF(OR(I147="",J147=""),"",IF(I147&lt;=J147,"YES","no"))</f>
        <v/>
      </c>
      <c r="L147" s="10">
        <f>IF(OR(I147="",I147&lt;=0),"",LOG10(I147))</f>
        <v/>
      </c>
    </row>
    <row r="148">
      <c r="A148" s="6" t="n"/>
      <c r="B148" s="6" t="n"/>
      <c r="C148" s="6" t="n"/>
      <c r="D148" s="6" t="n"/>
      <c r="E148" s="6" t="n"/>
      <c r="F148" s="6" t="n"/>
      <c r="G148" s="6" t="n"/>
      <c r="H148" s="6" t="n"/>
      <c r="I148" s="10">
        <f>IF(OR(G148="",E148="",F148=""),"",G148*F148*1000/E148)</f>
        <v/>
      </c>
      <c r="J148" s="10">
        <f>IF(E148="","",1000/E148)</f>
        <v/>
      </c>
      <c r="K148" s="13">
        <f>IF(OR(I148="",J148=""),"",IF(I148&lt;=J148,"YES","no"))</f>
        <v/>
      </c>
      <c r="L148" s="10">
        <f>IF(OR(I148="",I148&lt;=0),"",LOG10(I148))</f>
        <v/>
      </c>
    </row>
    <row r="149">
      <c r="A149" s="6" t="n"/>
      <c r="B149" s="6" t="n"/>
      <c r="C149" s="6" t="n"/>
      <c r="D149" s="6" t="n"/>
      <c r="E149" s="6" t="n"/>
      <c r="F149" s="6" t="n"/>
      <c r="G149" s="6" t="n"/>
      <c r="H149" s="6" t="n"/>
      <c r="I149" s="10">
        <f>IF(OR(G149="",E149="",F149=""),"",G149*F149*1000/E149)</f>
        <v/>
      </c>
      <c r="J149" s="10">
        <f>IF(E149="","",1000/E149)</f>
        <v/>
      </c>
      <c r="K149" s="13">
        <f>IF(OR(I149="",J149=""),"",IF(I149&lt;=J149,"YES","no"))</f>
        <v/>
      </c>
      <c r="L149" s="10">
        <f>IF(OR(I149="",I149&lt;=0),"",LOG10(I149))</f>
        <v/>
      </c>
    </row>
    <row r="150">
      <c r="A150" s="6" t="n"/>
      <c r="B150" s="6" t="n"/>
      <c r="C150" s="6" t="n"/>
      <c r="D150" s="6" t="n"/>
      <c r="E150" s="6" t="n"/>
      <c r="F150" s="6" t="n"/>
      <c r="G150" s="6" t="n"/>
      <c r="H150" s="6" t="n"/>
      <c r="I150" s="10">
        <f>IF(OR(G150="",E150="",F150=""),"",G150*F150*1000/E150)</f>
        <v/>
      </c>
      <c r="J150" s="10">
        <f>IF(E150="","",1000/E150)</f>
        <v/>
      </c>
      <c r="K150" s="13">
        <f>IF(OR(I150="",J150=""),"",IF(I150&lt;=J150,"YES","no"))</f>
        <v/>
      </c>
      <c r="L150" s="10">
        <f>IF(OR(I150="",I150&lt;=0),"",LOG10(I150))</f>
        <v/>
      </c>
    </row>
    <row r="151">
      <c r="A151" s="6" t="n"/>
      <c r="B151" s="6" t="n"/>
      <c r="C151" s="6" t="n"/>
      <c r="D151" s="6" t="n"/>
      <c r="E151" s="6" t="n"/>
      <c r="F151" s="6" t="n"/>
      <c r="G151" s="6" t="n"/>
      <c r="H151" s="6" t="n"/>
      <c r="I151" s="10">
        <f>IF(OR(G151="",E151="",F151=""),"",G151*F151*1000/E151)</f>
        <v/>
      </c>
      <c r="J151" s="10">
        <f>IF(E151="","",1000/E151)</f>
        <v/>
      </c>
      <c r="K151" s="13">
        <f>IF(OR(I151="",J151=""),"",IF(I151&lt;=J151,"YES","no"))</f>
        <v/>
      </c>
      <c r="L151" s="10">
        <f>IF(OR(I151="",I151&lt;=0),"",LOG10(I151))</f>
        <v/>
      </c>
    </row>
    <row r="152">
      <c r="A152" s="6" t="n"/>
      <c r="B152" s="6" t="n"/>
      <c r="C152" s="6" t="n"/>
      <c r="D152" s="6" t="n"/>
      <c r="E152" s="6" t="n"/>
      <c r="F152" s="6" t="n"/>
      <c r="G152" s="6" t="n"/>
      <c r="H152" s="6" t="n"/>
      <c r="I152" s="10">
        <f>IF(OR(G152="",E152="",F152=""),"",G152*F152*1000/E152)</f>
        <v/>
      </c>
      <c r="J152" s="10">
        <f>IF(E152="","",1000/E152)</f>
        <v/>
      </c>
      <c r="K152" s="13">
        <f>IF(OR(I152="",J152=""),"",IF(I152&lt;=J152,"YES","no"))</f>
        <v/>
      </c>
      <c r="L152" s="10">
        <f>IF(OR(I152="",I152&lt;=0),"",LOG10(I152))</f>
        <v/>
      </c>
    </row>
    <row r="153">
      <c r="A153" s="6" t="n"/>
      <c r="B153" s="6" t="n"/>
      <c r="C153" s="6" t="n"/>
      <c r="D153" s="6" t="n"/>
      <c r="E153" s="6" t="n"/>
      <c r="F153" s="6" t="n"/>
      <c r="G153" s="6" t="n"/>
      <c r="H153" s="6" t="n"/>
      <c r="I153" s="10">
        <f>IF(OR(G153="",E153="",F153=""),"",G153*F153*1000/E153)</f>
        <v/>
      </c>
      <c r="J153" s="10">
        <f>IF(E153="","",1000/E153)</f>
        <v/>
      </c>
      <c r="K153" s="13">
        <f>IF(OR(I153="",J153=""),"",IF(I153&lt;=J153,"YES","no"))</f>
        <v/>
      </c>
      <c r="L153" s="10">
        <f>IF(OR(I153="",I153&lt;=0),"",LOG10(I153))</f>
        <v/>
      </c>
    </row>
    <row r="154">
      <c r="A154" s="6" t="n"/>
      <c r="B154" s="6" t="n"/>
      <c r="C154" s="6" t="n"/>
      <c r="D154" s="6" t="n"/>
      <c r="E154" s="6" t="n"/>
      <c r="F154" s="6" t="n"/>
      <c r="G154" s="6" t="n"/>
      <c r="H154" s="6" t="n"/>
      <c r="I154" s="10">
        <f>IF(OR(G154="",E154="",F154=""),"",G154*F154*1000/E154)</f>
        <v/>
      </c>
      <c r="J154" s="10">
        <f>IF(E154="","",1000/E154)</f>
        <v/>
      </c>
      <c r="K154" s="13">
        <f>IF(OR(I154="",J154=""),"",IF(I154&lt;=J154,"YES","no"))</f>
        <v/>
      </c>
      <c r="L154" s="10">
        <f>IF(OR(I154="",I154&lt;=0),"",LOG10(I154))</f>
        <v/>
      </c>
    </row>
    <row r="155">
      <c r="A155" s="6" t="n"/>
      <c r="B155" s="6" t="n"/>
      <c r="C155" s="6" t="n"/>
      <c r="D155" s="6" t="n"/>
      <c r="E155" s="6" t="n"/>
      <c r="F155" s="6" t="n"/>
      <c r="G155" s="6" t="n"/>
      <c r="H155" s="6" t="n"/>
      <c r="I155" s="10">
        <f>IF(OR(G155="",E155="",F155=""),"",G155*F155*1000/E155)</f>
        <v/>
      </c>
      <c r="J155" s="10">
        <f>IF(E155="","",1000/E155)</f>
        <v/>
      </c>
      <c r="K155" s="13">
        <f>IF(OR(I155="",J155=""),"",IF(I155&lt;=J155,"YES","no"))</f>
        <v/>
      </c>
      <c r="L155" s="10">
        <f>IF(OR(I155="",I155&lt;=0),"",LOG10(I155))</f>
        <v/>
      </c>
    </row>
    <row r="156">
      <c r="A156" s="6" t="n"/>
      <c r="B156" s="6" t="n"/>
      <c r="C156" s="6" t="n"/>
      <c r="D156" s="6" t="n"/>
      <c r="E156" s="6" t="n"/>
      <c r="F156" s="6" t="n"/>
      <c r="G156" s="6" t="n"/>
      <c r="H156" s="6" t="n"/>
      <c r="I156" s="10">
        <f>IF(OR(G156="",E156="",F156=""),"",G156*F156*1000/E156)</f>
        <v/>
      </c>
      <c r="J156" s="10">
        <f>IF(E156="","",1000/E156)</f>
        <v/>
      </c>
      <c r="K156" s="13">
        <f>IF(OR(I156="",J156=""),"",IF(I156&lt;=J156,"YES","no"))</f>
        <v/>
      </c>
      <c r="L156" s="10">
        <f>IF(OR(I156="",I156&lt;=0),"",LOG10(I156))</f>
        <v/>
      </c>
    </row>
    <row r="157">
      <c r="A157" s="6" t="n"/>
      <c r="B157" s="6" t="n"/>
      <c r="C157" s="6" t="n"/>
      <c r="D157" s="6" t="n"/>
      <c r="E157" s="6" t="n"/>
      <c r="F157" s="6" t="n"/>
      <c r="G157" s="6" t="n"/>
      <c r="H157" s="6" t="n"/>
      <c r="I157" s="10">
        <f>IF(OR(G157="",E157="",F157=""),"",G157*F157*1000/E157)</f>
        <v/>
      </c>
      <c r="J157" s="10">
        <f>IF(E157="","",1000/E157)</f>
        <v/>
      </c>
      <c r="K157" s="13">
        <f>IF(OR(I157="",J157=""),"",IF(I157&lt;=J157,"YES","no"))</f>
        <v/>
      </c>
      <c r="L157" s="10">
        <f>IF(OR(I157="",I157&lt;=0),"",LOG10(I157))</f>
        <v/>
      </c>
    </row>
    <row r="158">
      <c r="A158" s="6" t="n"/>
      <c r="B158" s="6" t="n"/>
      <c r="C158" s="6" t="n"/>
      <c r="D158" s="6" t="n"/>
      <c r="E158" s="6" t="n"/>
      <c r="F158" s="6" t="n"/>
      <c r="G158" s="6" t="n"/>
      <c r="H158" s="6" t="n"/>
      <c r="I158" s="10">
        <f>IF(OR(G158="",E158="",F158=""),"",G158*F158*1000/E158)</f>
        <v/>
      </c>
      <c r="J158" s="10">
        <f>IF(E158="","",1000/E158)</f>
        <v/>
      </c>
      <c r="K158" s="13">
        <f>IF(OR(I158="",J158=""),"",IF(I158&lt;=J158,"YES","no"))</f>
        <v/>
      </c>
      <c r="L158" s="10">
        <f>IF(OR(I158="",I158&lt;=0),"",LOG10(I158))</f>
        <v/>
      </c>
    </row>
    <row r="159">
      <c r="A159" s="6" t="n"/>
      <c r="B159" s="6" t="n"/>
      <c r="C159" s="6" t="n"/>
      <c r="D159" s="6" t="n"/>
      <c r="E159" s="6" t="n"/>
      <c r="F159" s="6" t="n"/>
      <c r="G159" s="6" t="n"/>
      <c r="H159" s="6" t="n"/>
      <c r="I159" s="10">
        <f>IF(OR(G159="",E159="",F159=""),"",G159*F159*1000/E159)</f>
        <v/>
      </c>
      <c r="J159" s="10">
        <f>IF(E159="","",1000/E159)</f>
        <v/>
      </c>
      <c r="K159" s="13">
        <f>IF(OR(I159="",J159=""),"",IF(I159&lt;=J159,"YES","no"))</f>
        <v/>
      </c>
      <c r="L159" s="10">
        <f>IF(OR(I159="",I159&lt;=0),"",LOG10(I159))</f>
        <v/>
      </c>
    </row>
    <row r="160">
      <c r="A160" s="6" t="n"/>
      <c r="B160" s="6" t="n"/>
      <c r="C160" s="6" t="n"/>
      <c r="D160" s="6" t="n"/>
      <c r="E160" s="6" t="n"/>
      <c r="F160" s="6" t="n"/>
      <c r="G160" s="6" t="n"/>
      <c r="H160" s="6" t="n"/>
      <c r="I160" s="10">
        <f>IF(OR(G160="",E160="",F160=""),"",G160*F160*1000/E160)</f>
        <v/>
      </c>
      <c r="J160" s="10">
        <f>IF(E160="","",1000/E160)</f>
        <v/>
      </c>
      <c r="K160" s="13">
        <f>IF(OR(I160="",J160=""),"",IF(I160&lt;=J160,"YES","no"))</f>
        <v/>
      </c>
      <c r="L160" s="10">
        <f>IF(OR(I160="",I160&lt;=0),"",LOG10(I160))</f>
        <v/>
      </c>
    </row>
    <row r="161">
      <c r="A161" s="6" t="n"/>
      <c r="B161" s="6" t="n"/>
      <c r="C161" s="6" t="n"/>
      <c r="D161" s="6" t="n"/>
      <c r="E161" s="6" t="n"/>
      <c r="F161" s="6" t="n"/>
      <c r="G161" s="6" t="n"/>
      <c r="H161" s="6" t="n"/>
      <c r="I161" s="10">
        <f>IF(OR(G161="",E161="",F161=""),"",G161*F161*1000/E161)</f>
        <v/>
      </c>
      <c r="J161" s="10">
        <f>IF(E161="","",1000/E161)</f>
        <v/>
      </c>
      <c r="K161" s="13">
        <f>IF(OR(I161="",J161=""),"",IF(I161&lt;=J161,"YES","no"))</f>
        <v/>
      </c>
      <c r="L161" s="10">
        <f>IF(OR(I161="",I161&lt;=0),"",LOG10(I161))</f>
        <v/>
      </c>
    </row>
    <row r="162">
      <c r="A162" s="6" t="n"/>
      <c r="B162" s="6" t="n"/>
      <c r="C162" s="6" t="n"/>
      <c r="D162" s="6" t="n"/>
      <c r="E162" s="6" t="n"/>
      <c r="F162" s="6" t="n"/>
      <c r="G162" s="6" t="n"/>
      <c r="H162" s="6" t="n"/>
      <c r="I162" s="10">
        <f>IF(OR(G162="",E162="",F162=""),"",G162*F162*1000/E162)</f>
        <v/>
      </c>
      <c r="J162" s="10">
        <f>IF(E162="","",1000/E162)</f>
        <v/>
      </c>
      <c r="K162" s="13">
        <f>IF(OR(I162="",J162=""),"",IF(I162&lt;=J162,"YES","no"))</f>
        <v/>
      </c>
      <c r="L162" s="10">
        <f>IF(OR(I162="",I162&lt;=0),"",LOG10(I162))</f>
        <v/>
      </c>
    </row>
    <row r="163">
      <c r="A163" s="6" t="n"/>
      <c r="B163" s="6" t="n"/>
      <c r="C163" s="6" t="n"/>
      <c r="D163" s="6" t="n"/>
      <c r="E163" s="6" t="n"/>
      <c r="F163" s="6" t="n"/>
      <c r="G163" s="6" t="n"/>
      <c r="H163" s="6" t="n"/>
      <c r="I163" s="10">
        <f>IF(OR(G163="",E163="",F163=""),"",G163*F163*1000/E163)</f>
        <v/>
      </c>
      <c r="J163" s="10">
        <f>IF(E163="","",1000/E163)</f>
        <v/>
      </c>
      <c r="K163" s="13">
        <f>IF(OR(I163="",J163=""),"",IF(I163&lt;=J163,"YES","no"))</f>
        <v/>
      </c>
      <c r="L163" s="10">
        <f>IF(OR(I163="",I163&lt;=0),"",LOG10(I163))</f>
        <v/>
      </c>
    </row>
    <row r="164">
      <c r="A164" s="6" t="n"/>
      <c r="B164" s="6" t="n"/>
      <c r="C164" s="6" t="n"/>
      <c r="D164" s="6" t="n"/>
      <c r="E164" s="6" t="n"/>
      <c r="F164" s="6" t="n"/>
      <c r="G164" s="6" t="n"/>
      <c r="H164" s="6" t="n"/>
      <c r="I164" s="10">
        <f>IF(OR(G164="",E164="",F164=""),"",G164*F164*1000/E164)</f>
        <v/>
      </c>
      <c r="J164" s="10">
        <f>IF(E164="","",1000/E164)</f>
        <v/>
      </c>
      <c r="K164" s="13">
        <f>IF(OR(I164="",J164=""),"",IF(I164&lt;=J164,"YES","no"))</f>
        <v/>
      </c>
      <c r="L164" s="10">
        <f>IF(OR(I164="",I164&lt;=0),"",LOG10(I164))</f>
        <v/>
      </c>
    </row>
    <row r="165">
      <c r="A165" s="6" t="n"/>
      <c r="B165" s="6" t="n"/>
      <c r="C165" s="6" t="n"/>
      <c r="D165" s="6" t="n"/>
      <c r="E165" s="6" t="n"/>
      <c r="F165" s="6" t="n"/>
      <c r="G165" s="6" t="n"/>
      <c r="H165" s="6" t="n"/>
      <c r="I165" s="10">
        <f>IF(OR(G165="",E165="",F165=""),"",G165*F165*1000/E165)</f>
        <v/>
      </c>
      <c r="J165" s="10">
        <f>IF(E165="","",1000/E165)</f>
        <v/>
      </c>
      <c r="K165" s="13">
        <f>IF(OR(I165="",J165=""),"",IF(I165&lt;=J165,"YES","no"))</f>
        <v/>
      </c>
      <c r="L165" s="10">
        <f>IF(OR(I165="",I165&lt;=0),"",LOG10(I165))</f>
        <v/>
      </c>
    </row>
    <row r="166">
      <c r="A166" s="6" t="n"/>
      <c r="B166" s="6" t="n"/>
      <c r="C166" s="6" t="n"/>
      <c r="D166" s="6" t="n"/>
      <c r="E166" s="6" t="n"/>
      <c r="F166" s="6" t="n"/>
      <c r="G166" s="6" t="n"/>
      <c r="H166" s="6" t="n"/>
      <c r="I166" s="10">
        <f>IF(OR(G166="",E166="",F166=""),"",G166*F166*1000/E166)</f>
        <v/>
      </c>
      <c r="J166" s="10">
        <f>IF(E166="","",1000/E166)</f>
        <v/>
      </c>
      <c r="K166" s="13">
        <f>IF(OR(I166="",J166=""),"",IF(I166&lt;=J166,"YES","no"))</f>
        <v/>
      </c>
      <c r="L166" s="10">
        <f>IF(OR(I166="",I166&lt;=0),"",LOG10(I166))</f>
        <v/>
      </c>
    </row>
    <row r="167">
      <c r="A167" s="6" t="n"/>
      <c r="B167" s="6" t="n"/>
      <c r="C167" s="6" t="n"/>
      <c r="D167" s="6" t="n"/>
      <c r="E167" s="6" t="n"/>
      <c r="F167" s="6" t="n"/>
      <c r="G167" s="6" t="n"/>
      <c r="H167" s="6" t="n"/>
      <c r="I167" s="10">
        <f>IF(OR(G167="",E167="",F167=""),"",G167*F167*1000/E167)</f>
        <v/>
      </c>
      <c r="J167" s="10">
        <f>IF(E167="","",1000/E167)</f>
        <v/>
      </c>
      <c r="K167" s="13">
        <f>IF(OR(I167="",J167=""),"",IF(I167&lt;=J167,"YES","no"))</f>
        <v/>
      </c>
      <c r="L167" s="10">
        <f>IF(OR(I167="",I167&lt;=0),"",LOG10(I167))</f>
        <v/>
      </c>
    </row>
    <row r="168">
      <c r="A168" s="6" t="n"/>
      <c r="B168" s="6" t="n"/>
      <c r="C168" s="6" t="n"/>
      <c r="D168" s="6" t="n"/>
      <c r="E168" s="6" t="n"/>
      <c r="F168" s="6" t="n"/>
      <c r="G168" s="6" t="n"/>
      <c r="H168" s="6" t="n"/>
      <c r="I168" s="10">
        <f>IF(OR(G168="",E168="",F168=""),"",G168*F168*1000/E168)</f>
        <v/>
      </c>
      <c r="J168" s="10">
        <f>IF(E168="","",1000/E168)</f>
        <v/>
      </c>
      <c r="K168" s="13">
        <f>IF(OR(I168="",J168=""),"",IF(I168&lt;=J168,"YES","no"))</f>
        <v/>
      </c>
      <c r="L168" s="10">
        <f>IF(OR(I168="",I168&lt;=0),"",LOG10(I168))</f>
        <v/>
      </c>
    </row>
    <row r="169">
      <c r="A169" s="6" t="n"/>
      <c r="B169" s="6" t="n"/>
      <c r="C169" s="6" t="n"/>
      <c r="D169" s="6" t="n"/>
      <c r="E169" s="6" t="n"/>
      <c r="F169" s="6" t="n"/>
      <c r="G169" s="6" t="n"/>
      <c r="H169" s="6" t="n"/>
      <c r="I169" s="10">
        <f>IF(OR(G169="",E169="",F169=""),"",G169*F169*1000/E169)</f>
        <v/>
      </c>
      <c r="J169" s="10">
        <f>IF(E169="","",1000/E169)</f>
        <v/>
      </c>
      <c r="K169" s="13">
        <f>IF(OR(I169="",J169=""),"",IF(I169&lt;=J169,"YES","no"))</f>
        <v/>
      </c>
      <c r="L169" s="10">
        <f>IF(OR(I169="",I169&lt;=0),"",LOG10(I169))</f>
        <v/>
      </c>
    </row>
    <row r="170">
      <c r="A170" s="6" t="n"/>
      <c r="B170" s="6" t="n"/>
      <c r="C170" s="6" t="n"/>
      <c r="D170" s="6" t="n"/>
      <c r="E170" s="6" t="n"/>
      <c r="F170" s="6" t="n"/>
      <c r="G170" s="6" t="n"/>
      <c r="H170" s="6" t="n"/>
      <c r="I170" s="10">
        <f>IF(OR(G170="",E170="",F170=""),"",G170*F170*1000/E170)</f>
        <v/>
      </c>
      <c r="J170" s="10">
        <f>IF(E170="","",1000/E170)</f>
        <v/>
      </c>
      <c r="K170" s="13">
        <f>IF(OR(I170="",J170=""),"",IF(I170&lt;=J170,"YES","no"))</f>
        <v/>
      </c>
      <c r="L170" s="10">
        <f>IF(OR(I170="",I170&lt;=0),"",LOG10(I170))</f>
        <v/>
      </c>
    </row>
    <row r="171">
      <c r="A171" s="6" t="n"/>
      <c r="B171" s="6" t="n"/>
      <c r="C171" s="6" t="n"/>
      <c r="D171" s="6" t="n"/>
      <c r="E171" s="6" t="n"/>
      <c r="F171" s="6" t="n"/>
      <c r="G171" s="6" t="n"/>
      <c r="H171" s="6" t="n"/>
      <c r="I171" s="10">
        <f>IF(OR(G171="",E171="",F171=""),"",G171*F171*1000/E171)</f>
        <v/>
      </c>
      <c r="J171" s="10">
        <f>IF(E171="","",1000/E171)</f>
        <v/>
      </c>
      <c r="K171" s="13">
        <f>IF(OR(I171="",J171=""),"",IF(I171&lt;=J171,"YES","no"))</f>
        <v/>
      </c>
      <c r="L171" s="10">
        <f>IF(OR(I171="",I171&lt;=0),"",LOG10(I171))</f>
        <v/>
      </c>
    </row>
    <row r="172">
      <c r="A172" s="6" t="n"/>
      <c r="B172" s="6" t="n"/>
      <c r="C172" s="6" t="n"/>
      <c r="D172" s="6" t="n"/>
      <c r="E172" s="6" t="n"/>
      <c r="F172" s="6" t="n"/>
      <c r="G172" s="6" t="n"/>
      <c r="H172" s="6" t="n"/>
      <c r="I172" s="10">
        <f>IF(OR(G172="",E172="",F172=""),"",G172*F172*1000/E172)</f>
        <v/>
      </c>
      <c r="J172" s="10">
        <f>IF(E172="","",1000/E172)</f>
        <v/>
      </c>
      <c r="K172" s="13">
        <f>IF(OR(I172="",J172=""),"",IF(I172&lt;=J172,"YES","no"))</f>
        <v/>
      </c>
      <c r="L172" s="10">
        <f>IF(OR(I172="",I172&lt;=0),"",LOG10(I172))</f>
        <v/>
      </c>
    </row>
    <row r="173">
      <c r="A173" s="6" t="n"/>
      <c r="B173" s="6" t="n"/>
      <c r="C173" s="6" t="n"/>
      <c r="D173" s="6" t="n"/>
      <c r="E173" s="6" t="n"/>
      <c r="F173" s="6" t="n"/>
      <c r="G173" s="6" t="n"/>
      <c r="H173" s="6" t="n"/>
      <c r="I173" s="10">
        <f>IF(OR(G173="",E173="",F173=""),"",G173*F173*1000/E173)</f>
        <v/>
      </c>
      <c r="J173" s="10">
        <f>IF(E173="","",1000/E173)</f>
        <v/>
      </c>
      <c r="K173" s="13">
        <f>IF(OR(I173="",J173=""),"",IF(I173&lt;=J173,"YES","no"))</f>
        <v/>
      </c>
      <c r="L173" s="10">
        <f>IF(OR(I173="",I173&lt;=0),"",LOG10(I173))</f>
        <v/>
      </c>
    </row>
    <row r="174">
      <c r="A174" s="6" t="n"/>
      <c r="B174" s="6" t="n"/>
      <c r="C174" s="6" t="n"/>
      <c r="D174" s="6" t="n"/>
      <c r="E174" s="6" t="n"/>
      <c r="F174" s="6" t="n"/>
      <c r="G174" s="6" t="n"/>
      <c r="H174" s="6" t="n"/>
      <c r="I174" s="10">
        <f>IF(OR(G174="",E174="",F174=""),"",G174*F174*1000/E174)</f>
        <v/>
      </c>
      <c r="J174" s="10">
        <f>IF(E174="","",1000/E174)</f>
        <v/>
      </c>
      <c r="K174" s="13">
        <f>IF(OR(I174="",J174=""),"",IF(I174&lt;=J174,"YES","no"))</f>
        <v/>
      </c>
      <c r="L174" s="10">
        <f>IF(OR(I174="",I174&lt;=0),"",LOG10(I174))</f>
        <v/>
      </c>
    </row>
    <row r="175">
      <c r="A175" s="6" t="n"/>
      <c r="B175" s="6" t="n"/>
      <c r="C175" s="6" t="n"/>
      <c r="D175" s="6" t="n"/>
      <c r="E175" s="6" t="n"/>
      <c r="F175" s="6" t="n"/>
      <c r="G175" s="6" t="n"/>
      <c r="H175" s="6" t="n"/>
      <c r="I175" s="10">
        <f>IF(OR(G175="",E175="",F175=""),"",G175*F175*1000/E175)</f>
        <v/>
      </c>
      <c r="J175" s="10">
        <f>IF(E175="","",1000/E175)</f>
        <v/>
      </c>
      <c r="K175" s="13">
        <f>IF(OR(I175="",J175=""),"",IF(I175&lt;=J175,"YES","no"))</f>
        <v/>
      </c>
      <c r="L175" s="10">
        <f>IF(OR(I175="",I175&lt;=0),"",LOG10(I175))</f>
        <v/>
      </c>
    </row>
    <row r="176">
      <c r="A176" s="6" t="n"/>
      <c r="B176" s="6" t="n"/>
      <c r="C176" s="6" t="n"/>
      <c r="D176" s="6" t="n"/>
      <c r="E176" s="6" t="n"/>
      <c r="F176" s="6" t="n"/>
      <c r="G176" s="6" t="n"/>
      <c r="H176" s="6" t="n"/>
      <c r="I176" s="10">
        <f>IF(OR(G176="",E176="",F176=""),"",G176*F176*1000/E176)</f>
        <v/>
      </c>
      <c r="J176" s="10">
        <f>IF(E176="","",1000/E176)</f>
        <v/>
      </c>
      <c r="K176" s="13">
        <f>IF(OR(I176="",J176=""),"",IF(I176&lt;=J176,"YES","no"))</f>
        <v/>
      </c>
      <c r="L176" s="10">
        <f>IF(OR(I176="",I176&lt;=0),"",LOG10(I176))</f>
        <v/>
      </c>
    </row>
    <row r="177">
      <c r="A177" s="6" t="n"/>
      <c r="B177" s="6" t="n"/>
      <c r="C177" s="6" t="n"/>
      <c r="D177" s="6" t="n"/>
      <c r="E177" s="6" t="n"/>
      <c r="F177" s="6" t="n"/>
      <c r="G177" s="6" t="n"/>
      <c r="H177" s="6" t="n"/>
      <c r="I177" s="10">
        <f>IF(OR(G177="",E177="",F177=""),"",G177*F177*1000/E177)</f>
        <v/>
      </c>
      <c r="J177" s="10">
        <f>IF(E177="","",1000/E177)</f>
        <v/>
      </c>
      <c r="K177" s="13">
        <f>IF(OR(I177="",J177=""),"",IF(I177&lt;=J177,"YES","no"))</f>
        <v/>
      </c>
      <c r="L177" s="10">
        <f>IF(OR(I177="",I177&lt;=0),"",LOG10(I177))</f>
        <v/>
      </c>
    </row>
    <row r="178">
      <c r="A178" s="6" t="n"/>
      <c r="B178" s="6" t="n"/>
      <c r="C178" s="6" t="n"/>
      <c r="D178" s="6" t="n"/>
      <c r="E178" s="6" t="n"/>
      <c r="F178" s="6" t="n"/>
      <c r="G178" s="6" t="n"/>
      <c r="H178" s="6" t="n"/>
      <c r="I178" s="10">
        <f>IF(OR(G178="",E178="",F178=""),"",G178*F178*1000/E178)</f>
        <v/>
      </c>
      <c r="J178" s="10">
        <f>IF(E178="","",1000/E178)</f>
        <v/>
      </c>
      <c r="K178" s="13">
        <f>IF(OR(I178="",J178=""),"",IF(I178&lt;=J178,"YES","no"))</f>
        <v/>
      </c>
      <c r="L178" s="10">
        <f>IF(OR(I178="",I178&lt;=0),"",LOG10(I178))</f>
        <v/>
      </c>
    </row>
    <row r="179">
      <c r="A179" s="6" t="n"/>
      <c r="B179" s="6" t="n"/>
      <c r="C179" s="6" t="n"/>
      <c r="D179" s="6" t="n"/>
      <c r="E179" s="6" t="n"/>
      <c r="F179" s="6" t="n"/>
      <c r="G179" s="6" t="n"/>
      <c r="H179" s="6" t="n"/>
      <c r="I179" s="10">
        <f>IF(OR(G179="",E179="",F179=""),"",G179*F179*1000/E179)</f>
        <v/>
      </c>
      <c r="J179" s="10">
        <f>IF(E179="","",1000/E179)</f>
        <v/>
      </c>
      <c r="K179" s="13">
        <f>IF(OR(I179="",J179=""),"",IF(I179&lt;=J179,"YES","no"))</f>
        <v/>
      </c>
      <c r="L179" s="10">
        <f>IF(OR(I179="",I179&lt;=0),"",LOG10(I179))</f>
        <v/>
      </c>
    </row>
    <row r="180">
      <c r="A180" s="6" t="n"/>
      <c r="B180" s="6" t="n"/>
      <c r="C180" s="6" t="n"/>
      <c r="D180" s="6" t="n"/>
      <c r="E180" s="6" t="n"/>
      <c r="F180" s="6" t="n"/>
      <c r="G180" s="6" t="n"/>
      <c r="H180" s="6" t="n"/>
      <c r="I180" s="10">
        <f>IF(OR(G180="",E180="",F180=""),"",G180*F180*1000/E180)</f>
        <v/>
      </c>
      <c r="J180" s="10">
        <f>IF(E180="","",1000/E180)</f>
        <v/>
      </c>
      <c r="K180" s="13">
        <f>IF(OR(I180="",J180=""),"",IF(I180&lt;=J180,"YES","no"))</f>
        <v/>
      </c>
      <c r="L180" s="10">
        <f>IF(OR(I180="",I180&lt;=0),"",LOG10(I180))</f>
        <v/>
      </c>
    </row>
    <row r="181">
      <c r="A181" s="6" t="n"/>
      <c r="B181" s="6" t="n"/>
      <c r="C181" s="6" t="n"/>
      <c r="D181" s="6" t="n"/>
      <c r="E181" s="6" t="n"/>
      <c r="F181" s="6" t="n"/>
      <c r="G181" s="6" t="n"/>
      <c r="H181" s="6" t="n"/>
      <c r="I181" s="10">
        <f>IF(OR(G181="",E181="",F181=""),"",G181*F181*1000/E181)</f>
        <v/>
      </c>
      <c r="J181" s="10">
        <f>IF(E181="","",1000/E181)</f>
        <v/>
      </c>
      <c r="K181" s="13">
        <f>IF(OR(I181="",J181=""),"",IF(I181&lt;=J181,"YES","no"))</f>
        <v/>
      </c>
      <c r="L181" s="10">
        <f>IF(OR(I181="",I181&lt;=0),"",LOG10(I181))</f>
        <v/>
      </c>
    </row>
    <row r="182">
      <c r="A182" s="6" t="n"/>
      <c r="B182" s="6" t="n"/>
      <c r="C182" s="6" t="n"/>
      <c r="D182" s="6" t="n"/>
      <c r="E182" s="6" t="n"/>
      <c r="F182" s="6" t="n"/>
      <c r="G182" s="6" t="n"/>
      <c r="H182" s="6" t="n"/>
      <c r="I182" s="10">
        <f>IF(OR(G182="",E182="",F182=""),"",G182*F182*1000/E182)</f>
        <v/>
      </c>
      <c r="J182" s="10">
        <f>IF(E182="","",1000/E182)</f>
        <v/>
      </c>
      <c r="K182" s="13">
        <f>IF(OR(I182="",J182=""),"",IF(I182&lt;=J182,"YES","no"))</f>
        <v/>
      </c>
      <c r="L182" s="10">
        <f>IF(OR(I182="",I182&lt;=0),"",LOG10(I182))</f>
        <v/>
      </c>
    </row>
    <row r="183">
      <c r="A183" s="6" t="n"/>
      <c r="B183" s="6" t="n"/>
      <c r="C183" s="6" t="n"/>
      <c r="D183" s="6" t="n"/>
      <c r="E183" s="6" t="n"/>
      <c r="F183" s="6" t="n"/>
      <c r="G183" s="6" t="n"/>
      <c r="H183" s="6" t="n"/>
      <c r="I183" s="10">
        <f>IF(OR(G183="",E183="",F183=""),"",G183*F183*1000/E183)</f>
        <v/>
      </c>
      <c r="J183" s="10">
        <f>IF(E183="","",1000/E183)</f>
        <v/>
      </c>
      <c r="K183" s="13">
        <f>IF(OR(I183="",J183=""),"",IF(I183&lt;=J183,"YES","no"))</f>
        <v/>
      </c>
      <c r="L183" s="10">
        <f>IF(OR(I183="",I183&lt;=0),"",LOG10(I183))</f>
        <v/>
      </c>
    </row>
    <row r="184">
      <c r="A184" s="6" t="n"/>
      <c r="B184" s="6" t="n"/>
      <c r="C184" s="6" t="n"/>
      <c r="D184" s="6" t="n"/>
      <c r="E184" s="6" t="n"/>
      <c r="F184" s="6" t="n"/>
      <c r="G184" s="6" t="n"/>
      <c r="H184" s="6" t="n"/>
      <c r="I184" s="10">
        <f>IF(OR(G184="",E184="",F184=""),"",G184*F184*1000/E184)</f>
        <v/>
      </c>
      <c r="J184" s="10">
        <f>IF(E184="","",1000/E184)</f>
        <v/>
      </c>
      <c r="K184" s="13">
        <f>IF(OR(I184="",J184=""),"",IF(I184&lt;=J184,"YES","no"))</f>
        <v/>
      </c>
      <c r="L184" s="10">
        <f>IF(OR(I184="",I184&lt;=0),"",LOG10(I184))</f>
        <v/>
      </c>
    </row>
    <row r="185">
      <c r="A185" s="6" t="n"/>
      <c r="B185" s="6" t="n"/>
      <c r="C185" s="6" t="n"/>
      <c r="D185" s="6" t="n"/>
      <c r="E185" s="6" t="n"/>
      <c r="F185" s="6" t="n"/>
      <c r="G185" s="6" t="n"/>
      <c r="H185" s="6" t="n"/>
      <c r="I185" s="10">
        <f>IF(OR(G185="",E185="",F185=""),"",G185*F185*1000/E185)</f>
        <v/>
      </c>
      <c r="J185" s="10">
        <f>IF(E185="","",1000/E185)</f>
        <v/>
      </c>
      <c r="K185" s="13">
        <f>IF(OR(I185="",J185=""),"",IF(I185&lt;=J185,"YES","no"))</f>
        <v/>
      </c>
      <c r="L185" s="10">
        <f>IF(OR(I185="",I185&lt;=0),"",LOG10(I185))</f>
        <v/>
      </c>
    </row>
    <row r="186">
      <c r="A186" s="6" t="n"/>
      <c r="B186" s="6" t="n"/>
      <c r="C186" s="6" t="n"/>
      <c r="D186" s="6" t="n"/>
      <c r="E186" s="6" t="n"/>
      <c r="F186" s="6" t="n"/>
      <c r="G186" s="6" t="n"/>
      <c r="H186" s="6" t="n"/>
      <c r="I186" s="10">
        <f>IF(OR(G186="",E186="",F186=""),"",G186*F186*1000/E186)</f>
        <v/>
      </c>
      <c r="J186" s="10">
        <f>IF(E186="","",1000/E186)</f>
        <v/>
      </c>
      <c r="K186" s="13">
        <f>IF(OR(I186="",J186=""),"",IF(I186&lt;=J186,"YES","no"))</f>
        <v/>
      </c>
      <c r="L186" s="10">
        <f>IF(OR(I186="",I186&lt;=0),"",LOG10(I186))</f>
        <v/>
      </c>
    </row>
    <row r="187">
      <c r="A187" s="6" t="n"/>
      <c r="B187" s="6" t="n"/>
      <c r="C187" s="6" t="n"/>
      <c r="D187" s="6" t="n"/>
      <c r="E187" s="6" t="n"/>
      <c r="F187" s="6" t="n"/>
      <c r="G187" s="6" t="n"/>
      <c r="H187" s="6" t="n"/>
      <c r="I187" s="10">
        <f>IF(OR(G187="",E187="",F187=""),"",G187*F187*1000/E187)</f>
        <v/>
      </c>
      <c r="J187" s="10">
        <f>IF(E187="","",1000/E187)</f>
        <v/>
      </c>
      <c r="K187" s="13">
        <f>IF(OR(I187="",J187=""),"",IF(I187&lt;=J187,"YES","no"))</f>
        <v/>
      </c>
      <c r="L187" s="10">
        <f>IF(OR(I187="",I187&lt;=0),"",LOG10(I187))</f>
        <v/>
      </c>
    </row>
    <row r="188">
      <c r="A188" s="6" t="n"/>
      <c r="B188" s="6" t="n"/>
      <c r="C188" s="6" t="n"/>
      <c r="D188" s="6" t="n"/>
      <c r="E188" s="6" t="n"/>
      <c r="F188" s="6" t="n"/>
      <c r="G188" s="6" t="n"/>
      <c r="H188" s="6" t="n"/>
      <c r="I188" s="10">
        <f>IF(OR(G188="",E188="",F188=""),"",G188*F188*1000/E188)</f>
        <v/>
      </c>
      <c r="J188" s="10">
        <f>IF(E188="","",1000/E188)</f>
        <v/>
      </c>
      <c r="K188" s="13">
        <f>IF(OR(I188="",J188=""),"",IF(I188&lt;=J188,"YES","no"))</f>
        <v/>
      </c>
      <c r="L188" s="10">
        <f>IF(OR(I188="",I188&lt;=0),"",LOG10(I188))</f>
        <v/>
      </c>
    </row>
    <row r="189">
      <c r="A189" s="6" t="n"/>
      <c r="B189" s="6" t="n"/>
      <c r="C189" s="6" t="n"/>
      <c r="D189" s="6" t="n"/>
      <c r="E189" s="6" t="n"/>
      <c r="F189" s="6" t="n"/>
      <c r="G189" s="6" t="n"/>
      <c r="H189" s="6" t="n"/>
      <c r="I189" s="10">
        <f>IF(OR(G189="",E189="",F189=""),"",G189*F189*1000/E189)</f>
        <v/>
      </c>
      <c r="J189" s="10">
        <f>IF(E189="","",1000/E189)</f>
        <v/>
      </c>
      <c r="K189" s="13">
        <f>IF(OR(I189="",J189=""),"",IF(I189&lt;=J189,"YES","no"))</f>
        <v/>
      </c>
      <c r="L189" s="10">
        <f>IF(OR(I189="",I189&lt;=0),"",LOG10(I189))</f>
        <v/>
      </c>
    </row>
    <row r="190">
      <c r="A190" s="6" t="n"/>
      <c r="B190" s="6" t="n"/>
      <c r="C190" s="6" t="n"/>
      <c r="D190" s="6" t="n"/>
      <c r="E190" s="6" t="n"/>
      <c r="F190" s="6" t="n"/>
      <c r="G190" s="6" t="n"/>
      <c r="H190" s="6" t="n"/>
      <c r="I190" s="10">
        <f>IF(OR(G190="",E190="",F190=""),"",G190*F190*1000/E190)</f>
        <v/>
      </c>
      <c r="J190" s="10">
        <f>IF(E190="","",1000/E190)</f>
        <v/>
      </c>
      <c r="K190" s="13">
        <f>IF(OR(I190="",J190=""),"",IF(I190&lt;=J190,"YES","no"))</f>
        <v/>
      </c>
      <c r="L190" s="10">
        <f>IF(OR(I190="",I190&lt;=0),"",LOG10(I190))</f>
        <v/>
      </c>
    </row>
    <row r="191">
      <c r="A191" s="6" t="n"/>
      <c r="B191" s="6" t="n"/>
      <c r="C191" s="6" t="n"/>
      <c r="D191" s="6" t="n"/>
      <c r="E191" s="6" t="n"/>
      <c r="F191" s="6" t="n"/>
      <c r="G191" s="6" t="n"/>
      <c r="H191" s="6" t="n"/>
      <c r="I191" s="10">
        <f>IF(OR(G191="",E191="",F191=""),"",G191*F191*1000/E191)</f>
        <v/>
      </c>
      <c r="J191" s="10">
        <f>IF(E191="","",1000/E191)</f>
        <v/>
      </c>
      <c r="K191" s="13">
        <f>IF(OR(I191="",J191=""),"",IF(I191&lt;=J191,"YES","no"))</f>
        <v/>
      </c>
      <c r="L191" s="10">
        <f>IF(OR(I191="",I191&lt;=0),"",LOG10(I191))</f>
        <v/>
      </c>
    </row>
    <row r="192">
      <c r="A192" s="6" t="n"/>
      <c r="B192" s="6" t="n"/>
      <c r="C192" s="6" t="n"/>
      <c r="D192" s="6" t="n"/>
      <c r="E192" s="6" t="n"/>
      <c r="F192" s="6" t="n"/>
      <c r="G192" s="6" t="n"/>
      <c r="H192" s="6" t="n"/>
      <c r="I192" s="10">
        <f>IF(OR(G192="",E192="",F192=""),"",G192*F192*1000/E192)</f>
        <v/>
      </c>
      <c r="J192" s="10">
        <f>IF(E192="","",1000/E192)</f>
        <v/>
      </c>
      <c r="K192" s="13">
        <f>IF(OR(I192="",J192=""),"",IF(I192&lt;=J192,"YES","no"))</f>
        <v/>
      </c>
      <c r="L192" s="10">
        <f>IF(OR(I192="",I192&lt;=0),"",LOG10(I192))</f>
        <v/>
      </c>
    </row>
    <row r="193">
      <c r="A193" s="6" t="n"/>
      <c r="B193" s="6" t="n"/>
      <c r="C193" s="6" t="n"/>
      <c r="D193" s="6" t="n"/>
      <c r="E193" s="6" t="n"/>
      <c r="F193" s="6" t="n"/>
      <c r="G193" s="6" t="n"/>
      <c r="H193" s="6" t="n"/>
      <c r="I193" s="10">
        <f>IF(OR(G193="",E193="",F193=""),"",G193*F193*1000/E193)</f>
        <v/>
      </c>
      <c r="J193" s="10">
        <f>IF(E193="","",1000/E193)</f>
        <v/>
      </c>
      <c r="K193" s="13">
        <f>IF(OR(I193="",J193=""),"",IF(I193&lt;=J193,"YES","no"))</f>
        <v/>
      </c>
      <c r="L193" s="10">
        <f>IF(OR(I193="",I193&lt;=0),"",LOG10(I193))</f>
        <v/>
      </c>
    </row>
    <row r="194">
      <c r="A194" s="6" t="n"/>
      <c r="B194" s="6" t="n"/>
      <c r="C194" s="6" t="n"/>
      <c r="D194" s="6" t="n"/>
      <c r="E194" s="6" t="n"/>
      <c r="F194" s="6" t="n"/>
      <c r="G194" s="6" t="n"/>
      <c r="H194" s="6" t="n"/>
      <c r="I194" s="10">
        <f>IF(OR(G194="",E194="",F194=""),"",G194*F194*1000/E194)</f>
        <v/>
      </c>
      <c r="J194" s="10">
        <f>IF(E194="","",1000/E194)</f>
        <v/>
      </c>
      <c r="K194" s="13">
        <f>IF(OR(I194="",J194=""),"",IF(I194&lt;=J194,"YES","no"))</f>
        <v/>
      </c>
      <c r="L194" s="10">
        <f>IF(OR(I194="",I194&lt;=0),"",LOG10(I194))</f>
        <v/>
      </c>
    </row>
    <row r="195">
      <c r="A195" s="6" t="n"/>
      <c r="B195" s="6" t="n"/>
      <c r="C195" s="6" t="n"/>
      <c r="D195" s="6" t="n"/>
      <c r="E195" s="6" t="n"/>
      <c r="F195" s="6" t="n"/>
      <c r="G195" s="6" t="n"/>
      <c r="H195" s="6" t="n"/>
      <c r="I195" s="10">
        <f>IF(OR(G195="",E195="",F195=""),"",G195*F195*1000/E195)</f>
        <v/>
      </c>
      <c r="J195" s="10">
        <f>IF(E195="","",1000/E195)</f>
        <v/>
      </c>
      <c r="K195" s="13">
        <f>IF(OR(I195="",J195=""),"",IF(I195&lt;=J195,"YES","no"))</f>
        <v/>
      </c>
      <c r="L195" s="10">
        <f>IF(OR(I195="",I195&lt;=0),"",LOG10(I195))</f>
        <v/>
      </c>
    </row>
    <row r="196">
      <c r="A196" s="6" t="n"/>
      <c r="B196" s="6" t="n"/>
      <c r="C196" s="6" t="n"/>
      <c r="D196" s="6" t="n"/>
      <c r="E196" s="6" t="n"/>
      <c r="F196" s="6" t="n"/>
      <c r="G196" s="6" t="n"/>
      <c r="H196" s="6" t="n"/>
      <c r="I196" s="10">
        <f>IF(OR(G196="",E196="",F196=""),"",G196*F196*1000/E196)</f>
        <v/>
      </c>
      <c r="J196" s="10">
        <f>IF(E196="","",1000/E196)</f>
        <v/>
      </c>
      <c r="K196" s="13">
        <f>IF(OR(I196="",J196=""),"",IF(I196&lt;=J196,"YES","no"))</f>
        <v/>
      </c>
      <c r="L196" s="10">
        <f>IF(OR(I196="",I196&lt;=0),"",LOG10(I196))</f>
        <v/>
      </c>
    </row>
    <row r="197">
      <c r="A197" s="6" t="n"/>
      <c r="B197" s="6" t="n"/>
      <c r="C197" s="6" t="n"/>
      <c r="D197" s="6" t="n"/>
      <c r="E197" s="6" t="n"/>
      <c r="F197" s="6" t="n"/>
      <c r="G197" s="6" t="n"/>
      <c r="H197" s="6" t="n"/>
      <c r="I197" s="10">
        <f>IF(OR(G197="",E197="",F197=""),"",G197*F197*1000/E197)</f>
        <v/>
      </c>
      <c r="J197" s="10">
        <f>IF(E197="","",1000/E197)</f>
        <v/>
      </c>
      <c r="K197" s="13">
        <f>IF(OR(I197="",J197=""),"",IF(I197&lt;=J197,"YES","no"))</f>
        <v/>
      </c>
      <c r="L197" s="10">
        <f>IF(OR(I197="",I197&lt;=0),"",LOG10(I197))</f>
        <v/>
      </c>
    </row>
    <row r="198">
      <c r="A198" s="6" t="n"/>
      <c r="B198" s="6" t="n"/>
      <c r="C198" s="6" t="n"/>
      <c r="D198" s="6" t="n"/>
      <c r="E198" s="6" t="n"/>
      <c r="F198" s="6" t="n"/>
      <c r="G198" s="6" t="n"/>
      <c r="H198" s="6" t="n"/>
      <c r="I198" s="10">
        <f>IF(OR(G198="",E198="",F198=""),"",G198*F198*1000/E198)</f>
        <v/>
      </c>
      <c r="J198" s="10">
        <f>IF(E198="","",1000/E198)</f>
        <v/>
      </c>
      <c r="K198" s="13">
        <f>IF(OR(I198="",J198=""),"",IF(I198&lt;=J198,"YES","no"))</f>
        <v/>
      </c>
      <c r="L198" s="10">
        <f>IF(OR(I198="",I198&lt;=0),"",LOG10(I198))</f>
        <v/>
      </c>
    </row>
    <row r="199">
      <c r="A199" s="6" t="n"/>
      <c r="B199" s="6" t="n"/>
      <c r="C199" s="6" t="n"/>
      <c r="D199" s="6" t="n"/>
      <c r="E199" s="6" t="n"/>
      <c r="F199" s="6" t="n"/>
      <c r="G199" s="6" t="n"/>
      <c r="H199" s="6" t="n"/>
      <c r="I199" s="10">
        <f>IF(OR(G199="",E199="",F199=""),"",G199*F199*1000/E199)</f>
        <v/>
      </c>
      <c r="J199" s="10">
        <f>IF(E199="","",1000/E199)</f>
        <v/>
      </c>
      <c r="K199" s="13">
        <f>IF(OR(I199="",J199=""),"",IF(I199&lt;=J199,"YES","no"))</f>
        <v/>
      </c>
      <c r="L199" s="10">
        <f>IF(OR(I199="",I199&lt;=0),"",LOG10(I199))</f>
        <v/>
      </c>
    </row>
    <row r="200">
      <c r="A200" s="6" t="n"/>
      <c r="B200" s="6" t="n"/>
      <c r="C200" s="6" t="n"/>
      <c r="D200" s="6" t="n"/>
      <c r="E200" s="6" t="n"/>
      <c r="F200" s="6" t="n"/>
      <c r="G200" s="6" t="n"/>
      <c r="H200" s="6" t="n"/>
      <c r="I200" s="10">
        <f>IF(OR(G200="",E200="",F200=""),"",G200*F200*1000/E200)</f>
        <v/>
      </c>
      <c r="J200" s="10">
        <f>IF(E200="","",1000/E200)</f>
        <v/>
      </c>
      <c r="K200" s="13">
        <f>IF(OR(I200="",J200=""),"",IF(I200&lt;=J200,"YES","no"))</f>
        <v/>
      </c>
      <c r="L200" s="10">
        <f>IF(OR(I200="",I200&lt;=0),"",LOG10(I200))</f>
        <v/>
      </c>
    </row>
    <row r="201">
      <c r="A201" s="6" t="n"/>
      <c r="B201" s="6" t="n"/>
      <c r="C201" s="6" t="n"/>
      <c r="D201" s="6" t="n"/>
      <c r="E201" s="6" t="n"/>
      <c r="F201" s="6" t="n"/>
      <c r="G201" s="6" t="n"/>
      <c r="H201" s="6" t="n"/>
      <c r="I201" s="10">
        <f>IF(OR(G201="",E201="",F201=""),"",G201*F201*1000/E201)</f>
        <v/>
      </c>
      <c r="J201" s="10">
        <f>IF(E201="","",1000/E201)</f>
        <v/>
      </c>
      <c r="K201" s="13">
        <f>IF(OR(I201="",J201=""),"",IF(I201&lt;=J201,"YES","no"))</f>
        <v/>
      </c>
      <c r="L201" s="10">
        <f>IF(OR(I201="",I201&lt;=0),"",LOG10(I201))</f>
        <v/>
      </c>
    </row>
    <row r="202">
      <c r="A202" s="6" t="n"/>
      <c r="B202" s="6" t="n"/>
      <c r="C202" s="6" t="n"/>
      <c r="D202" s="6" t="n"/>
      <c r="E202" s="6" t="n"/>
      <c r="F202" s="6" t="n"/>
      <c r="G202" s="6" t="n"/>
      <c r="H202" s="6" t="n"/>
      <c r="I202" s="10">
        <f>IF(OR(G202="",E202="",F202=""),"",G202*F202*1000/E202)</f>
        <v/>
      </c>
      <c r="J202" s="10">
        <f>IF(E202="","",1000/E202)</f>
        <v/>
      </c>
      <c r="K202" s="13">
        <f>IF(OR(I202="",J202=""),"",IF(I202&lt;=J202,"YES","no"))</f>
        <v/>
      </c>
      <c r="L202" s="10">
        <f>IF(OR(I202="",I202&lt;=0),"",LOG10(I202))</f>
        <v/>
      </c>
    </row>
    <row r="203">
      <c r="A203" s="6" t="n"/>
      <c r="B203" s="6" t="n"/>
      <c r="C203" s="6" t="n"/>
      <c r="D203" s="6" t="n"/>
      <c r="E203" s="6" t="n"/>
      <c r="F203" s="6" t="n"/>
      <c r="G203" s="6" t="n"/>
      <c r="H203" s="6" t="n"/>
      <c r="I203" s="10">
        <f>IF(OR(G203="",E203="",F203=""),"",G203*F203*1000/E203)</f>
        <v/>
      </c>
      <c r="J203" s="10">
        <f>IF(E203="","",1000/E203)</f>
        <v/>
      </c>
      <c r="K203" s="13">
        <f>IF(OR(I203="",J203=""),"",IF(I203&lt;=J203,"YES","no"))</f>
        <v/>
      </c>
      <c r="L203" s="10">
        <f>IF(OR(I203="",I203&lt;=0),"",LOG10(I203))</f>
        <v/>
      </c>
    </row>
    <row r="204">
      <c r="A204" s="6" t="n"/>
      <c r="B204" s="6" t="n"/>
      <c r="C204" s="6" t="n"/>
      <c r="D204" s="6" t="n"/>
      <c r="E204" s="6" t="n"/>
      <c r="F204" s="6" t="n"/>
      <c r="G204" s="6" t="n"/>
      <c r="H204" s="6" t="n"/>
      <c r="I204" s="10">
        <f>IF(OR(G204="",E204="",F204=""),"",G204*F204*1000/E204)</f>
        <v/>
      </c>
      <c r="J204" s="10">
        <f>IF(E204="","",1000/E204)</f>
        <v/>
      </c>
      <c r="K204" s="13">
        <f>IF(OR(I204="",J204=""),"",IF(I204&lt;=J204,"YES","no"))</f>
        <v/>
      </c>
      <c r="L204" s="10">
        <f>IF(OR(I204="",I204&lt;=0),"",LOG10(I204))</f>
        <v/>
      </c>
    </row>
    <row r="205">
      <c r="A205" s="6" t="n"/>
      <c r="B205" s="6" t="n"/>
      <c r="C205" s="6" t="n"/>
      <c r="D205" s="6" t="n"/>
      <c r="E205" s="6" t="n"/>
      <c r="F205" s="6" t="n"/>
      <c r="G205" s="6" t="n"/>
      <c r="H205" s="6" t="n"/>
      <c r="I205" s="10">
        <f>IF(OR(G205="",E205="",F205=""),"",G205*F205*1000/E205)</f>
        <v/>
      </c>
      <c r="J205" s="10">
        <f>IF(E205="","",1000/E205)</f>
        <v/>
      </c>
      <c r="K205" s="13">
        <f>IF(OR(I205="",J205=""),"",IF(I205&lt;=J205,"YES","no"))</f>
        <v/>
      </c>
      <c r="L205" s="10">
        <f>IF(OR(I205="",I205&lt;=0),"",LOG10(I205))</f>
        <v/>
      </c>
    </row>
    <row r="206">
      <c r="A206" s="6" t="n"/>
      <c r="B206" s="6" t="n"/>
      <c r="C206" s="6" t="n"/>
      <c r="D206" s="6" t="n"/>
      <c r="E206" s="6" t="n"/>
      <c r="F206" s="6" t="n"/>
      <c r="G206" s="6" t="n"/>
      <c r="H206" s="6" t="n"/>
      <c r="I206" s="10">
        <f>IF(OR(G206="",E206="",F206=""),"",G206*F206*1000/E206)</f>
        <v/>
      </c>
      <c r="J206" s="10">
        <f>IF(E206="","",1000/E206)</f>
        <v/>
      </c>
      <c r="K206" s="13">
        <f>IF(OR(I206="",J206=""),"",IF(I206&lt;=J206,"YES","no"))</f>
        <v/>
      </c>
      <c r="L206" s="10">
        <f>IF(OR(I206="",I206&lt;=0),"",LOG10(I206))</f>
        <v/>
      </c>
    </row>
    <row r="207">
      <c r="A207" s="6" t="n"/>
      <c r="B207" s="6" t="n"/>
      <c r="C207" s="6" t="n"/>
      <c r="D207" s="6" t="n"/>
      <c r="E207" s="6" t="n"/>
      <c r="F207" s="6" t="n"/>
      <c r="G207" s="6" t="n"/>
      <c r="H207" s="6" t="n"/>
      <c r="I207" s="10">
        <f>IF(OR(G207="",E207="",F207=""),"",G207*F207*1000/E207)</f>
        <v/>
      </c>
      <c r="J207" s="10">
        <f>IF(E207="","",1000/E207)</f>
        <v/>
      </c>
      <c r="K207" s="13">
        <f>IF(OR(I207="",J207=""),"",IF(I207&lt;=J207,"YES","no"))</f>
        <v/>
      </c>
      <c r="L207" s="10">
        <f>IF(OR(I207="",I207&lt;=0),"",LOG10(I207))</f>
        <v/>
      </c>
    </row>
    <row r="208">
      <c r="A208" s="6" t="n"/>
      <c r="B208" s="6" t="n"/>
      <c r="C208" s="6" t="n"/>
      <c r="D208" s="6" t="n"/>
      <c r="E208" s="6" t="n"/>
      <c r="F208" s="6" t="n"/>
      <c r="G208" s="6" t="n"/>
      <c r="H208" s="6" t="n"/>
      <c r="I208" s="10">
        <f>IF(OR(G208="",E208="",F208=""),"",G208*F208*1000/E208)</f>
        <v/>
      </c>
      <c r="J208" s="10">
        <f>IF(E208="","",1000/E208)</f>
        <v/>
      </c>
      <c r="K208" s="13">
        <f>IF(OR(I208="",J208=""),"",IF(I208&lt;=J208,"YES","no"))</f>
        <v/>
      </c>
      <c r="L208" s="10">
        <f>IF(OR(I208="",I208&lt;=0),"",LOG10(I208))</f>
        <v/>
      </c>
    </row>
    <row r="209">
      <c r="A209" s="6" t="n"/>
      <c r="B209" s="6" t="n"/>
      <c r="C209" s="6" t="n"/>
      <c r="D209" s="6" t="n"/>
      <c r="E209" s="6" t="n"/>
      <c r="F209" s="6" t="n"/>
      <c r="G209" s="6" t="n"/>
      <c r="H209" s="6" t="n"/>
      <c r="I209" s="10">
        <f>IF(OR(G209="",E209="",F209=""),"",G209*F209*1000/E209)</f>
        <v/>
      </c>
      <c r="J209" s="10">
        <f>IF(E209="","",1000/E209)</f>
        <v/>
      </c>
      <c r="K209" s="13">
        <f>IF(OR(I209="",J209=""),"",IF(I209&lt;=J209,"YES","no"))</f>
        <v/>
      </c>
      <c r="L209" s="10">
        <f>IF(OR(I209="",I209&lt;=0),"",LOG10(I209))</f>
        <v/>
      </c>
    </row>
    <row r="210">
      <c r="A210" s="6" t="n"/>
      <c r="B210" s="6" t="n"/>
      <c r="C210" s="6" t="n"/>
      <c r="D210" s="6" t="n"/>
      <c r="E210" s="6" t="n"/>
      <c r="F210" s="6" t="n"/>
      <c r="G210" s="6" t="n"/>
      <c r="H210" s="6" t="n"/>
      <c r="I210" s="10">
        <f>IF(OR(G210="",E210="",F210=""),"",G210*F210*1000/E210)</f>
        <v/>
      </c>
      <c r="J210" s="10">
        <f>IF(E210="","",1000/E210)</f>
        <v/>
      </c>
      <c r="K210" s="13">
        <f>IF(OR(I210="",J210=""),"",IF(I210&lt;=J210,"YES","no"))</f>
        <v/>
      </c>
      <c r="L210" s="10">
        <f>IF(OR(I210="",I210&lt;=0),"",LOG10(I210))</f>
        <v/>
      </c>
    </row>
    <row r="211">
      <c r="A211" s="6" t="n"/>
      <c r="B211" s="6" t="n"/>
      <c r="C211" s="6" t="n"/>
      <c r="D211" s="6" t="n"/>
      <c r="E211" s="6" t="n"/>
      <c r="F211" s="6" t="n"/>
      <c r="G211" s="6" t="n"/>
      <c r="H211" s="6" t="n"/>
      <c r="I211" s="10">
        <f>IF(OR(G211="",E211="",F211=""),"",G211*F211*1000/E211)</f>
        <v/>
      </c>
      <c r="J211" s="10">
        <f>IF(E211="","",1000/E211)</f>
        <v/>
      </c>
      <c r="K211" s="13">
        <f>IF(OR(I211="",J211=""),"",IF(I211&lt;=J211,"YES","no"))</f>
        <v/>
      </c>
      <c r="L211" s="10">
        <f>IF(OR(I211="",I211&lt;=0),"",LOG10(I211))</f>
        <v/>
      </c>
    </row>
    <row r="212">
      <c r="A212" s="6" t="n"/>
      <c r="B212" s="6" t="n"/>
      <c r="C212" s="6" t="n"/>
      <c r="D212" s="6" t="n"/>
      <c r="E212" s="6" t="n"/>
      <c r="F212" s="6" t="n"/>
      <c r="G212" s="6" t="n"/>
      <c r="H212" s="6" t="n"/>
      <c r="I212" s="10">
        <f>IF(OR(G212="",E212="",F212=""),"",G212*F212*1000/E212)</f>
        <v/>
      </c>
      <c r="J212" s="10">
        <f>IF(E212="","",1000/E212)</f>
        <v/>
      </c>
      <c r="K212" s="13">
        <f>IF(OR(I212="",J212=""),"",IF(I212&lt;=J212,"YES","no"))</f>
        <v/>
      </c>
      <c r="L212" s="10">
        <f>IF(OR(I212="",I212&lt;=0),"",LOG10(I212))</f>
        <v/>
      </c>
    </row>
    <row r="213">
      <c r="A213" s="6" t="n"/>
      <c r="B213" s="6" t="n"/>
      <c r="C213" s="6" t="n"/>
      <c r="D213" s="6" t="n"/>
      <c r="E213" s="6" t="n"/>
      <c r="F213" s="6" t="n"/>
      <c r="G213" s="6" t="n"/>
      <c r="H213" s="6" t="n"/>
      <c r="I213" s="10">
        <f>IF(OR(G213="",E213="",F213=""),"",G213*F213*1000/E213)</f>
        <v/>
      </c>
      <c r="J213" s="10">
        <f>IF(E213="","",1000/E213)</f>
        <v/>
      </c>
      <c r="K213" s="13">
        <f>IF(OR(I213="",J213=""),"",IF(I213&lt;=J213,"YES","no"))</f>
        <v/>
      </c>
      <c r="L213" s="10">
        <f>IF(OR(I213="",I213&lt;=0),"",LOG10(I213))</f>
        <v/>
      </c>
    </row>
    <row r="214">
      <c r="A214" s="6" t="n"/>
      <c r="B214" s="6" t="n"/>
      <c r="C214" s="6" t="n"/>
      <c r="D214" s="6" t="n"/>
      <c r="E214" s="6" t="n"/>
      <c r="F214" s="6" t="n"/>
      <c r="G214" s="6" t="n"/>
      <c r="H214" s="6" t="n"/>
      <c r="I214" s="10">
        <f>IF(OR(G214="",E214="",F214=""),"",G214*F214*1000/E214)</f>
        <v/>
      </c>
      <c r="J214" s="10">
        <f>IF(E214="","",1000/E214)</f>
        <v/>
      </c>
      <c r="K214" s="13">
        <f>IF(OR(I214="",J214=""),"",IF(I214&lt;=J214,"YES","no"))</f>
        <v/>
      </c>
      <c r="L214" s="10">
        <f>IF(OR(I214="",I214&lt;=0),"",LOG10(I214))</f>
        <v/>
      </c>
    </row>
    <row r="215">
      <c r="A215" s="6" t="n"/>
      <c r="B215" s="6" t="n"/>
      <c r="C215" s="6" t="n"/>
      <c r="D215" s="6" t="n"/>
      <c r="E215" s="6" t="n"/>
      <c r="F215" s="6" t="n"/>
      <c r="G215" s="6" t="n"/>
      <c r="H215" s="6" t="n"/>
      <c r="I215" s="10">
        <f>IF(OR(G215="",E215="",F215=""),"",G215*F215*1000/E215)</f>
        <v/>
      </c>
      <c r="J215" s="10">
        <f>IF(E215="","",1000/E215)</f>
        <v/>
      </c>
      <c r="K215" s="13">
        <f>IF(OR(I215="",J215=""),"",IF(I215&lt;=J215,"YES","no"))</f>
        <v/>
      </c>
      <c r="L215" s="10">
        <f>IF(OR(I215="",I215&lt;=0),"",LOG10(I215))</f>
        <v/>
      </c>
    </row>
    <row r="216">
      <c r="A216" s="6" t="n"/>
      <c r="B216" s="6" t="n"/>
      <c r="C216" s="6" t="n"/>
      <c r="D216" s="6" t="n"/>
      <c r="E216" s="6" t="n"/>
      <c r="F216" s="6" t="n"/>
      <c r="G216" s="6" t="n"/>
      <c r="H216" s="6" t="n"/>
      <c r="I216" s="10">
        <f>IF(OR(G216="",E216="",F216=""),"",G216*F216*1000/E216)</f>
        <v/>
      </c>
      <c r="J216" s="10">
        <f>IF(E216="","",1000/E216)</f>
        <v/>
      </c>
      <c r="K216" s="13">
        <f>IF(OR(I216="",J216=""),"",IF(I216&lt;=J216,"YES","no"))</f>
        <v/>
      </c>
      <c r="L216" s="10">
        <f>IF(OR(I216="",I216&lt;=0),"",LOG10(I216))</f>
        <v/>
      </c>
    </row>
    <row r="217">
      <c r="A217" s="6" t="n"/>
      <c r="B217" s="6" t="n"/>
      <c r="C217" s="6" t="n"/>
      <c r="D217" s="6" t="n"/>
      <c r="E217" s="6" t="n"/>
      <c r="F217" s="6" t="n"/>
      <c r="G217" s="6" t="n"/>
      <c r="H217" s="6" t="n"/>
      <c r="I217" s="10">
        <f>IF(OR(G217="",E217="",F217=""),"",G217*F217*1000/E217)</f>
        <v/>
      </c>
      <c r="J217" s="10">
        <f>IF(E217="","",1000/E217)</f>
        <v/>
      </c>
      <c r="K217" s="13">
        <f>IF(OR(I217="",J217=""),"",IF(I217&lt;=J217,"YES","no"))</f>
        <v/>
      </c>
      <c r="L217" s="10">
        <f>IF(OR(I217="",I217&lt;=0),"",LOG10(I217))</f>
        <v/>
      </c>
    </row>
    <row r="218">
      <c r="A218" s="6" t="n"/>
      <c r="B218" s="6" t="n"/>
      <c r="C218" s="6" t="n"/>
      <c r="D218" s="6" t="n"/>
      <c r="E218" s="6" t="n"/>
      <c r="F218" s="6" t="n"/>
      <c r="G218" s="6" t="n"/>
      <c r="H218" s="6" t="n"/>
      <c r="I218" s="10">
        <f>IF(OR(G218="",E218="",F218=""),"",G218*F218*1000/E218)</f>
        <v/>
      </c>
      <c r="J218" s="10">
        <f>IF(E218="","",1000/E218)</f>
        <v/>
      </c>
      <c r="K218" s="13">
        <f>IF(OR(I218="",J218=""),"",IF(I218&lt;=J218,"YES","no"))</f>
        <v/>
      </c>
      <c r="L218" s="10">
        <f>IF(OR(I218="",I218&lt;=0),"",LOG10(I218))</f>
        <v/>
      </c>
    </row>
    <row r="219">
      <c r="A219" s="6" t="n"/>
      <c r="B219" s="6" t="n"/>
      <c r="C219" s="6" t="n"/>
      <c r="D219" s="6" t="n"/>
      <c r="E219" s="6" t="n"/>
      <c r="F219" s="6" t="n"/>
      <c r="G219" s="6" t="n"/>
      <c r="H219" s="6" t="n"/>
      <c r="I219" s="10">
        <f>IF(OR(G219="",E219="",F219=""),"",G219*F219*1000/E219)</f>
        <v/>
      </c>
      <c r="J219" s="10">
        <f>IF(E219="","",1000/E219)</f>
        <v/>
      </c>
      <c r="K219" s="13">
        <f>IF(OR(I219="",J219=""),"",IF(I219&lt;=J219,"YES","no"))</f>
        <v/>
      </c>
      <c r="L219" s="10">
        <f>IF(OR(I219="",I219&lt;=0),"",LOG10(I219))</f>
        <v/>
      </c>
    </row>
    <row r="220">
      <c r="A220" s="6" t="n"/>
      <c r="B220" s="6" t="n"/>
      <c r="C220" s="6" t="n"/>
      <c r="D220" s="6" t="n"/>
      <c r="E220" s="6" t="n"/>
      <c r="F220" s="6" t="n"/>
      <c r="G220" s="6" t="n"/>
      <c r="H220" s="6" t="n"/>
      <c r="I220" s="10">
        <f>IF(OR(G220="",E220="",F220=""),"",G220*F220*1000/E220)</f>
        <v/>
      </c>
      <c r="J220" s="10">
        <f>IF(E220="","",1000/E220)</f>
        <v/>
      </c>
      <c r="K220" s="13">
        <f>IF(OR(I220="",J220=""),"",IF(I220&lt;=J220,"YES","no"))</f>
        <v/>
      </c>
      <c r="L220" s="10">
        <f>IF(OR(I220="",I220&lt;=0),"",LOG10(I220))</f>
        <v/>
      </c>
    </row>
    <row r="221">
      <c r="A221" s="6" t="n"/>
      <c r="B221" s="6" t="n"/>
      <c r="C221" s="6" t="n"/>
      <c r="D221" s="6" t="n"/>
      <c r="E221" s="6" t="n"/>
      <c r="F221" s="6" t="n"/>
      <c r="G221" s="6" t="n"/>
      <c r="H221" s="6" t="n"/>
      <c r="I221" s="10">
        <f>IF(OR(G221="",E221="",F221=""),"",G221*F221*1000/E221)</f>
        <v/>
      </c>
      <c r="J221" s="10">
        <f>IF(E221="","",1000/E221)</f>
        <v/>
      </c>
      <c r="K221" s="13">
        <f>IF(OR(I221="",J221=""),"",IF(I221&lt;=J221,"YES","no"))</f>
        <v/>
      </c>
      <c r="L221" s="10">
        <f>IF(OR(I221="",I221&lt;=0),"",LOG10(I221))</f>
        <v/>
      </c>
    </row>
    <row r="222">
      <c r="A222" s="6" t="n"/>
      <c r="B222" s="6" t="n"/>
      <c r="C222" s="6" t="n"/>
      <c r="D222" s="6" t="n"/>
      <c r="E222" s="6" t="n"/>
      <c r="F222" s="6" t="n"/>
      <c r="G222" s="6" t="n"/>
      <c r="H222" s="6" t="n"/>
      <c r="I222" s="10">
        <f>IF(OR(G222="",E222="",F222=""),"",G222*F222*1000/E222)</f>
        <v/>
      </c>
      <c r="J222" s="10">
        <f>IF(E222="","",1000/E222)</f>
        <v/>
      </c>
      <c r="K222" s="13">
        <f>IF(OR(I222="",J222=""),"",IF(I222&lt;=J222,"YES","no"))</f>
        <v/>
      </c>
      <c r="L222" s="10">
        <f>IF(OR(I222="",I222&lt;=0),"",LOG10(I222))</f>
        <v/>
      </c>
    </row>
    <row r="223">
      <c r="A223" s="6" t="n"/>
      <c r="B223" s="6" t="n"/>
      <c r="C223" s="6" t="n"/>
      <c r="D223" s="6" t="n"/>
      <c r="E223" s="6" t="n"/>
      <c r="F223" s="6" t="n"/>
      <c r="G223" s="6" t="n"/>
      <c r="H223" s="6" t="n"/>
      <c r="I223" s="10">
        <f>IF(OR(G223="",E223="",F223=""),"",G223*F223*1000/E223)</f>
        <v/>
      </c>
      <c r="J223" s="10">
        <f>IF(E223="","",1000/E223)</f>
        <v/>
      </c>
      <c r="K223" s="13">
        <f>IF(OR(I223="",J223=""),"",IF(I223&lt;=J223,"YES","no"))</f>
        <v/>
      </c>
      <c r="L223" s="10">
        <f>IF(OR(I223="",I223&lt;=0),"",LOG10(I223))</f>
        <v/>
      </c>
    </row>
    <row r="224">
      <c r="A224" s="6" t="n"/>
      <c r="B224" s="6" t="n"/>
      <c r="C224" s="6" t="n"/>
      <c r="D224" s="6" t="n"/>
      <c r="E224" s="6" t="n"/>
      <c r="F224" s="6" t="n"/>
      <c r="G224" s="6" t="n"/>
      <c r="H224" s="6" t="n"/>
      <c r="I224" s="10">
        <f>IF(OR(G224="",E224="",F224=""),"",G224*F224*1000/E224)</f>
        <v/>
      </c>
      <c r="J224" s="10">
        <f>IF(E224="","",1000/E224)</f>
        <v/>
      </c>
      <c r="K224" s="13">
        <f>IF(OR(I224="",J224=""),"",IF(I224&lt;=J224,"YES","no"))</f>
        <v/>
      </c>
      <c r="L224" s="10">
        <f>IF(OR(I224="",I224&lt;=0),"",LOG10(I224))</f>
        <v/>
      </c>
    </row>
    <row r="225">
      <c r="A225" s="6" t="n"/>
      <c r="B225" s="6" t="n"/>
      <c r="C225" s="6" t="n"/>
      <c r="D225" s="6" t="n"/>
      <c r="E225" s="6" t="n"/>
      <c r="F225" s="6" t="n"/>
      <c r="G225" s="6" t="n"/>
      <c r="H225" s="6" t="n"/>
      <c r="I225" s="10">
        <f>IF(OR(G225="",E225="",F225=""),"",G225*F225*1000/E225)</f>
        <v/>
      </c>
      <c r="J225" s="10">
        <f>IF(E225="","",1000/E225)</f>
        <v/>
      </c>
      <c r="K225" s="13">
        <f>IF(OR(I225="",J225=""),"",IF(I225&lt;=J225,"YES","no"))</f>
        <v/>
      </c>
      <c r="L225" s="10">
        <f>IF(OR(I225="",I225&lt;=0),"",LOG10(I225))</f>
        <v/>
      </c>
    </row>
    <row r="226">
      <c r="A226" s="6" t="n"/>
      <c r="B226" s="6" t="n"/>
      <c r="C226" s="6" t="n"/>
      <c r="D226" s="6" t="n"/>
      <c r="E226" s="6" t="n"/>
      <c r="F226" s="6" t="n"/>
      <c r="G226" s="6" t="n"/>
      <c r="H226" s="6" t="n"/>
      <c r="I226" s="10">
        <f>IF(OR(G226="",E226="",F226=""),"",G226*F226*1000/E226)</f>
        <v/>
      </c>
      <c r="J226" s="10">
        <f>IF(E226="","",1000/E226)</f>
        <v/>
      </c>
      <c r="K226" s="13">
        <f>IF(OR(I226="",J226=""),"",IF(I226&lt;=J226,"YES","no"))</f>
        <v/>
      </c>
      <c r="L226" s="10">
        <f>IF(OR(I226="",I226&lt;=0),"",LOG10(I226))</f>
        <v/>
      </c>
    </row>
    <row r="227">
      <c r="A227" s="6" t="n"/>
      <c r="B227" s="6" t="n"/>
      <c r="C227" s="6" t="n"/>
      <c r="D227" s="6" t="n"/>
      <c r="E227" s="6" t="n"/>
      <c r="F227" s="6" t="n"/>
      <c r="G227" s="6" t="n"/>
      <c r="H227" s="6" t="n"/>
      <c r="I227" s="10">
        <f>IF(OR(G227="",E227="",F227=""),"",G227*F227*1000/E227)</f>
        <v/>
      </c>
      <c r="J227" s="10">
        <f>IF(E227="","",1000/E227)</f>
        <v/>
      </c>
      <c r="K227" s="13">
        <f>IF(OR(I227="",J227=""),"",IF(I227&lt;=J227,"YES","no"))</f>
        <v/>
      </c>
      <c r="L227" s="10">
        <f>IF(OR(I227="",I227&lt;=0),"",LOG10(I227))</f>
        <v/>
      </c>
    </row>
    <row r="228">
      <c r="A228" s="6" t="n"/>
      <c r="B228" s="6" t="n"/>
      <c r="C228" s="6" t="n"/>
      <c r="D228" s="6" t="n"/>
      <c r="E228" s="6" t="n"/>
      <c r="F228" s="6" t="n"/>
      <c r="G228" s="6" t="n"/>
      <c r="H228" s="6" t="n"/>
      <c r="I228" s="10">
        <f>IF(OR(G228="",E228="",F228=""),"",G228*F228*1000/E228)</f>
        <v/>
      </c>
      <c r="J228" s="10">
        <f>IF(E228="","",1000/E228)</f>
        <v/>
      </c>
      <c r="K228" s="13">
        <f>IF(OR(I228="",J228=""),"",IF(I228&lt;=J228,"YES","no"))</f>
        <v/>
      </c>
      <c r="L228" s="10">
        <f>IF(OR(I228="",I228&lt;=0),"",LOG10(I228))</f>
        <v/>
      </c>
    </row>
    <row r="229">
      <c r="A229" s="6" t="n"/>
      <c r="B229" s="6" t="n"/>
      <c r="C229" s="6" t="n"/>
      <c r="D229" s="6" t="n"/>
      <c r="E229" s="6" t="n"/>
      <c r="F229" s="6" t="n"/>
      <c r="G229" s="6" t="n"/>
      <c r="H229" s="6" t="n"/>
      <c r="I229" s="10">
        <f>IF(OR(G229="",E229="",F229=""),"",G229*F229*1000/E229)</f>
        <v/>
      </c>
      <c r="J229" s="10">
        <f>IF(E229="","",1000/E229)</f>
        <v/>
      </c>
      <c r="K229" s="13">
        <f>IF(OR(I229="",J229=""),"",IF(I229&lt;=J229,"YES","no"))</f>
        <v/>
      </c>
      <c r="L229" s="10">
        <f>IF(OR(I229="",I229&lt;=0),"",LOG10(I229))</f>
        <v/>
      </c>
    </row>
    <row r="230">
      <c r="A230" s="6" t="n"/>
      <c r="B230" s="6" t="n"/>
      <c r="C230" s="6" t="n"/>
      <c r="D230" s="6" t="n"/>
      <c r="E230" s="6" t="n"/>
      <c r="F230" s="6" t="n"/>
      <c r="G230" s="6" t="n"/>
      <c r="H230" s="6" t="n"/>
      <c r="I230" s="10">
        <f>IF(OR(G230="",E230="",F230=""),"",G230*F230*1000/E230)</f>
        <v/>
      </c>
      <c r="J230" s="10">
        <f>IF(E230="","",1000/E230)</f>
        <v/>
      </c>
      <c r="K230" s="13">
        <f>IF(OR(I230="",J230=""),"",IF(I230&lt;=J230,"YES","no"))</f>
        <v/>
      </c>
      <c r="L230" s="10">
        <f>IF(OR(I230="",I230&lt;=0),"",LOG10(I230))</f>
        <v/>
      </c>
    </row>
    <row r="231">
      <c r="A231" s="6" t="n"/>
      <c r="B231" s="6" t="n"/>
      <c r="C231" s="6" t="n"/>
      <c r="D231" s="6" t="n"/>
      <c r="E231" s="6" t="n"/>
      <c r="F231" s="6" t="n"/>
      <c r="G231" s="6" t="n"/>
      <c r="H231" s="6" t="n"/>
      <c r="I231" s="10">
        <f>IF(OR(G231="",E231="",F231=""),"",G231*F231*1000/E231)</f>
        <v/>
      </c>
      <c r="J231" s="10">
        <f>IF(E231="","",1000/E231)</f>
        <v/>
      </c>
      <c r="K231" s="13">
        <f>IF(OR(I231="",J231=""),"",IF(I231&lt;=J231,"YES","no"))</f>
        <v/>
      </c>
      <c r="L231" s="10">
        <f>IF(OR(I231="",I231&lt;=0),"",LOG10(I231))</f>
        <v/>
      </c>
    </row>
    <row r="232">
      <c r="A232" s="6" t="n"/>
      <c r="B232" s="6" t="n"/>
      <c r="C232" s="6" t="n"/>
      <c r="D232" s="6" t="n"/>
      <c r="E232" s="6" t="n"/>
      <c r="F232" s="6" t="n"/>
      <c r="G232" s="6" t="n"/>
      <c r="H232" s="6" t="n"/>
      <c r="I232" s="10">
        <f>IF(OR(G232="",E232="",F232=""),"",G232*F232*1000/E232)</f>
        <v/>
      </c>
      <c r="J232" s="10">
        <f>IF(E232="","",1000/E232)</f>
        <v/>
      </c>
      <c r="K232" s="13">
        <f>IF(OR(I232="",J232=""),"",IF(I232&lt;=J232,"YES","no"))</f>
        <v/>
      </c>
      <c r="L232" s="10">
        <f>IF(OR(I232="",I232&lt;=0),"",LOG10(I232))</f>
        <v/>
      </c>
    </row>
    <row r="233">
      <c r="A233" s="6" t="n"/>
      <c r="B233" s="6" t="n"/>
      <c r="C233" s="6" t="n"/>
      <c r="D233" s="6" t="n"/>
      <c r="E233" s="6" t="n"/>
      <c r="F233" s="6" t="n"/>
      <c r="G233" s="6" t="n"/>
      <c r="H233" s="6" t="n"/>
      <c r="I233" s="10">
        <f>IF(OR(G233="",E233="",F233=""),"",G233*F233*1000/E233)</f>
        <v/>
      </c>
      <c r="J233" s="10">
        <f>IF(E233="","",1000/E233)</f>
        <v/>
      </c>
      <c r="K233" s="13">
        <f>IF(OR(I233="",J233=""),"",IF(I233&lt;=J233,"YES","no"))</f>
        <v/>
      </c>
      <c r="L233" s="10">
        <f>IF(OR(I233="",I233&lt;=0),"",LOG10(I233))</f>
        <v/>
      </c>
    </row>
    <row r="234">
      <c r="A234" s="6" t="n"/>
      <c r="B234" s="6" t="n"/>
      <c r="C234" s="6" t="n"/>
      <c r="D234" s="6" t="n"/>
      <c r="E234" s="6" t="n"/>
      <c r="F234" s="6" t="n"/>
      <c r="G234" s="6" t="n"/>
      <c r="H234" s="6" t="n"/>
      <c r="I234" s="10">
        <f>IF(OR(G234="",E234="",F234=""),"",G234*F234*1000/E234)</f>
        <v/>
      </c>
      <c r="J234" s="10">
        <f>IF(E234="","",1000/E234)</f>
        <v/>
      </c>
      <c r="K234" s="13">
        <f>IF(OR(I234="",J234=""),"",IF(I234&lt;=J234,"YES","no"))</f>
        <v/>
      </c>
      <c r="L234" s="10">
        <f>IF(OR(I234="",I234&lt;=0),"",LOG10(I234))</f>
        <v/>
      </c>
    </row>
    <row r="235">
      <c r="A235" s="6" t="n"/>
      <c r="B235" s="6" t="n"/>
      <c r="C235" s="6" t="n"/>
      <c r="D235" s="6" t="n"/>
      <c r="E235" s="6" t="n"/>
      <c r="F235" s="6" t="n"/>
      <c r="G235" s="6" t="n"/>
      <c r="H235" s="6" t="n"/>
      <c r="I235" s="10">
        <f>IF(OR(G235="",E235="",F235=""),"",G235*F235*1000/E235)</f>
        <v/>
      </c>
      <c r="J235" s="10">
        <f>IF(E235="","",1000/E235)</f>
        <v/>
      </c>
      <c r="K235" s="13">
        <f>IF(OR(I235="",J235=""),"",IF(I235&lt;=J235,"YES","no"))</f>
        <v/>
      </c>
      <c r="L235" s="10">
        <f>IF(OR(I235="",I235&lt;=0),"",LOG10(I235))</f>
        <v/>
      </c>
    </row>
    <row r="236">
      <c r="A236" s="6" t="n"/>
      <c r="B236" s="6" t="n"/>
      <c r="C236" s="6" t="n"/>
      <c r="D236" s="6" t="n"/>
      <c r="E236" s="6" t="n"/>
      <c r="F236" s="6" t="n"/>
      <c r="G236" s="6" t="n"/>
      <c r="H236" s="6" t="n"/>
      <c r="I236" s="10">
        <f>IF(OR(G236="",E236="",F236=""),"",G236*F236*1000/E236)</f>
        <v/>
      </c>
      <c r="J236" s="10">
        <f>IF(E236="","",1000/E236)</f>
        <v/>
      </c>
      <c r="K236" s="13">
        <f>IF(OR(I236="",J236=""),"",IF(I236&lt;=J236,"YES","no"))</f>
        <v/>
      </c>
      <c r="L236" s="10">
        <f>IF(OR(I236="",I236&lt;=0),"",LOG10(I236))</f>
        <v/>
      </c>
    </row>
    <row r="237">
      <c r="A237" s="6" t="n"/>
      <c r="B237" s="6" t="n"/>
      <c r="C237" s="6" t="n"/>
      <c r="D237" s="6" t="n"/>
      <c r="E237" s="6" t="n"/>
      <c r="F237" s="6" t="n"/>
      <c r="G237" s="6" t="n"/>
      <c r="H237" s="6" t="n"/>
      <c r="I237" s="10">
        <f>IF(OR(G237="",E237="",F237=""),"",G237*F237*1000/E237)</f>
        <v/>
      </c>
      <c r="J237" s="10">
        <f>IF(E237="","",1000/E237)</f>
        <v/>
      </c>
      <c r="K237" s="13">
        <f>IF(OR(I237="",J237=""),"",IF(I237&lt;=J237,"YES","no"))</f>
        <v/>
      </c>
      <c r="L237" s="10">
        <f>IF(OR(I237="",I237&lt;=0),"",LOG10(I237))</f>
        <v/>
      </c>
    </row>
    <row r="238">
      <c r="A238" s="6" t="n"/>
      <c r="B238" s="6" t="n"/>
      <c r="C238" s="6" t="n"/>
      <c r="D238" s="6" t="n"/>
      <c r="E238" s="6" t="n"/>
      <c r="F238" s="6" t="n"/>
      <c r="G238" s="6" t="n"/>
      <c r="H238" s="6" t="n"/>
      <c r="I238" s="10">
        <f>IF(OR(G238="",E238="",F238=""),"",G238*F238*1000/E238)</f>
        <v/>
      </c>
      <c r="J238" s="10">
        <f>IF(E238="","",1000/E238)</f>
        <v/>
      </c>
      <c r="K238" s="13">
        <f>IF(OR(I238="",J238=""),"",IF(I238&lt;=J238,"YES","no"))</f>
        <v/>
      </c>
      <c r="L238" s="10">
        <f>IF(OR(I238="",I238&lt;=0),"",LOG10(I238))</f>
        <v/>
      </c>
    </row>
    <row r="239">
      <c r="A239" s="6" t="n"/>
      <c r="B239" s="6" t="n"/>
      <c r="C239" s="6" t="n"/>
      <c r="D239" s="6" t="n"/>
      <c r="E239" s="6" t="n"/>
      <c r="F239" s="6" t="n"/>
      <c r="G239" s="6" t="n"/>
      <c r="H239" s="6" t="n"/>
      <c r="I239" s="10">
        <f>IF(OR(G239="",E239="",F239=""),"",G239*F239*1000/E239)</f>
        <v/>
      </c>
      <c r="J239" s="10">
        <f>IF(E239="","",1000/E239)</f>
        <v/>
      </c>
      <c r="K239" s="13">
        <f>IF(OR(I239="",J239=""),"",IF(I239&lt;=J239,"YES","no"))</f>
        <v/>
      </c>
      <c r="L239" s="10">
        <f>IF(OR(I239="",I239&lt;=0),"",LOG10(I239))</f>
        <v/>
      </c>
    </row>
    <row r="240">
      <c r="A240" s="6" t="n"/>
      <c r="B240" s="6" t="n"/>
      <c r="C240" s="6" t="n"/>
      <c r="D240" s="6" t="n"/>
      <c r="E240" s="6" t="n"/>
      <c r="F240" s="6" t="n"/>
      <c r="G240" s="6" t="n"/>
      <c r="H240" s="6" t="n"/>
      <c r="I240" s="10">
        <f>IF(OR(G240="",E240="",F240=""),"",G240*F240*1000/E240)</f>
        <v/>
      </c>
      <c r="J240" s="10">
        <f>IF(E240="","",1000/E240)</f>
        <v/>
      </c>
      <c r="K240" s="13">
        <f>IF(OR(I240="",J240=""),"",IF(I240&lt;=J240,"YES","no"))</f>
        <v/>
      </c>
      <c r="L240" s="10">
        <f>IF(OR(I240="",I240&lt;=0),"",LOG10(I240))</f>
        <v/>
      </c>
    </row>
    <row r="241">
      <c r="A241" s="6" t="n"/>
      <c r="B241" s="6" t="n"/>
      <c r="C241" s="6" t="n"/>
      <c r="D241" s="6" t="n"/>
      <c r="E241" s="6" t="n"/>
      <c r="F241" s="6" t="n"/>
      <c r="G241" s="6" t="n"/>
      <c r="H241" s="6" t="n"/>
      <c r="I241" s="10">
        <f>IF(OR(G241="",E241="",F241=""),"",G241*F241*1000/E241)</f>
        <v/>
      </c>
      <c r="J241" s="10">
        <f>IF(E241="","",1000/E241)</f>
        <v/>
      </c>
      <c r="K241" s="13">
        <f>IF(OR(I241="",J241=""),"",IF(I241&lt;=J241,"YES","no"))</f>
        <v/>
      </c>
      <c r="L241" s="10">
        <f>IF(OR(I241="",I241&lt;=0),"",LOG10(I241))</f>
        <v/>
      </c>
    </row>
    <row r="242">
      <c r="A242" s="6" t="n"/>
      <c r="B242" s="6" t="n"/>
      <c r="C242" s="6" t="n"/>
      <c r="D242" s="6" t="n"/>
      <c r="E242" s="6" t="n"/>
      <c r="F242" s="6" t="n"/>
      <c r="G242" s="6" t="n"/>
      <c r="H242" s="6" t="n"/>
      <c r="I242" s="10">
        <f>IF(OR(G242="",E242="",F242=""),"",G242*F242*1000/E242)</f>
        <v/>
      </c>
      <c r="J242" s="10">
        <f>IF(E242="","",1000/E242)</f>
        <v/>
      </c>
      <c r="K242" s="13">
        <f>IF(OR(I242="",J242=""),"",IF(I242&lt;=J242,"YES","no"))</f>
        <v/>
      </c>
      <c r="L242" s="10">
        <f>IF(OR(I242="",I242&lt;=0),"",LOG10(I242))</f>
        <v/>
      </c>
    </row>
    <row r="243">
      <c r="A243" s="6" t="n"/>
      <c r="B243" s="6" t="n"/>
      <c r="C243" s="6" t="n"/>
      <c r="D243" s="6" t="n"/>
      <c r="E243" s="6" t="n"/>
      <c r="F243" s="6" t="n"/>
      <c r="G243" s="6" t="n"/>
      <c r="H243" s="6" t="n"/>
      <c r="I243" s="10">
        <f>IF(OR(G243="",E243="",F243=""),"",G243*F243*1000/E243)</f>
        <v/>
      </c>
      <c r="J243" s="10">
        <f>IF(E243="","",1000/E243)</f>
        <v/>
      </c>
      <c r="K243" s="13">
        <f>IF(OR(I243="",J243=""),"",IF(I243&lt;=J243,"YES","no"))</f>
        <v/>
      </c>
      <c r="L243" s="10">
        <f>IF(OR(I243="",I243&lt;=0),"",LOG10(I243))</f>
        <v/>
      </c>
    </row>
    <row r="244">
      <c r="A244" s="6" t="n"/>
      <c r="B244" s="6" t="n"/>
      <c r="C244" s="6" t="n"/>
      <c r="D244" s="6" t="n"/>
      <c r="E244" s="6" t="n"/>
      <c r="F244" s="6" t="n"/>
      <c r="G244" s="6" t="n"/>
      <c r="H244" s="6" t="n"/>
      <c r="I244" s="10">
        <f>IF(OR(G244="",E244="",F244=""),"",G244*F244*1000/E244)</f>
        <v/>
      </c>
      <c r="J244" s="10">
        <f>IF(E244="","",1000/E244)</f>
        <v/>
      </c>
      <c r="K244" s="13">
        <f>IF(OR(I244="",J244=""),"",IF(I244&lt;=J244,"YES","no"))</f>
        <v/>
      </c>
      <c r="L244" s="10">
        <f>IF(OR(I244="",I244&lt;=0),"",LOG10(I244))</f>
        <v/>
      </c>
    </row>
  </sheetData>
  <mergeCells count="1">
    <mergeCell ref="A2:L2"/>
  </mergeCells>
  <dataValidations count="2">
    <dataValidation sqref="A5:A244" showDropDown="0" showInputMessage="0" showErrorMessage="0" allowBlank="1" type="list">
      <formula1>"LOW,MID,HIGH,untreated"</formula1>
    </dataValidation>
    <dataValidation sqref="E5:E244" showDropDown="0" showInputMessage="0" showErrorMessage="0" allowBlank="1" type="list">
      <formula1>"100,10"</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2" customWidth="1" min="1" max="1"/>
    <col width="20" customWidth="1" min="2" max="2"/>
    <col width="26" customWidth="1" min="3" max="3"/>
    <col width="14" customWidth="1" min="4" max="4"/>
    <col width="24" customWidth="1" min="5" max="5"/>
    <col width="24" customWidth="1" min="6" max="6"/>
  </cols>
  <sheetData>
    <row r="1">
      <c r="A1" s="1" t="inlineStr">
        <is>
          <t>Did you get the inoculum you aimed for?</t>
        </is>
      </c>
    </row>
    <row r="2">
      <c r="A2" s="8" t="inlineStr">
        <is>
          <t>The boundaries use the REALISED starting density, not the target. If the realised value differs, the experiment is not spoiled — but the prediction must be re-read against what you actually seeded, and that has to be visible.</t>
        </is>
      </c>
    </row>
    <row r="4" ht="30" customHeight="1">
      <c r="A4" s="4" t="inlineStr">
        <is>
          <t>Arm</t>
        </is>
      </c>
      <c r="B4" s="4" t="inlineStr">
        <is>
          <t>Target N0 (CFU/mL)</t>
        </is>
      </c>
      <c r="C4" s="4" t="inlineStr">
        <is>
          <t>Realised N0 (CFU/mL, day 0)</t>
        </is>
      </c>
      <c r="D4" s="4" t="inlineStr">
        <is>
          <t>Fold difference</t>
        </is>
      </c>
      <c r="E4" s="4" t="inlineStr">
        <is>
          <t>Realised headroom at 100 uL</t>
        </is>
      </c>
      <c r="F4" s="4" t="inlineStr">
        <is>
          <t>Still supports a 4-log call?</t>
        </is>
      </c>
    </row>
    <row r="5">
      <c r="A5" s="5" t="inlineStr">
        <is>
          <t>LOW</t>
        </is>
      </c>
      <c r="B5" s="6" t="n"/>
      <c r="C5" s="6" t="n"/>
      <c r="D5" s="10">
        <f>IF(OR(B5="",C5=""),"",C5/B5)</f>
        <v/>
      </c>
      <c r="E5" s="10">
        <f>IF(C5="","",LOG10(C5/10))</f>
        <v/>
      </c>
      <c r="F5" s="13">
        <f>IF(E5="","",IF(E5&gt;=4,"yes","NO — cannot report it"))</f>
        <v/>
      </c>
    </row>
    <row r="6">
      <c r="A6" s="5" t="inlineStr">
        <is>
          <t>MID</t>
        </is>
      </c>
      <c r="B6" s="6" t="n"/>
      <c r="C6" s="6" t="n"/>
      <c r="D6" s="10">
        <f>IF(OR(B6="",C6=""),"",C6/B6)</f>
        <v/>
      </c>
      <c r="E6" s="10">
        <f>IF(C6="","",LOG10(C6/10))</f>
        <v/>
      </c>
      <c r="F6" s="13">
        <f>IF(E6="","",IF(E6&gt;=4,"yes","NO — cannot report it"))</f>
        <v/>
      </c>
    </row>
    <row r="7">
      <c r="A7" s="5" t="inlineStr">
        <is>
          <t>HIGH</t>
        </is>
      </c>
      <c r="B7" s="6" t="n"/>
      <c r="C7" s="6" t="n"/>
      <c r="D7" s="10">
        <f>IF(OR(B7="",C7=""),"",C7/B7)</f>
        <v/>
      </c>
      <c r="E7" s="10">
        <f>IF(C7="","",LOG10(C7/10))</f>
        <v/>
      </c>
      <c r="F7" s="13">
        <f>IF(E7="","",IF(E7&gt;=4,"yes","NO — cannot report it"))</f>
        <v/>
      </c>
    </row>
    <row r="10">
      <c r="A10" s="8" t="inlineStr">
        <is>
          <t>Headroom here assumes the 100 uL plating, where L = 10 CFU/mL. The 10 uL plating has L = 100, so its headroom is one log smaller in every arm — which is the point of plating both ways.</t>
        </is>
      </c>
    </row>
  </sheetData>
  <mergeCells count="2">
    <mergeCell ref="A2:F2"/>
    <mergeCell ref="A10:F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2026-09-07T05:28:01Z</dcterms:created>
  <dcterms:modified xmlns:dcterms="http://purl.org/dc/terms/" xmlns:xsi="http://www.w3.org/2001/XMLSchema-instance" xsi:type="dcterms:W3CDTF">2026-09-07T05:28:01Z</dcterms:modified>
</cp:coreProperties>
</file>