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2f1877d7c43c3" /></Relationships>
</file>

<file path=xl/workbook.xml><?xml version="1.0" encoding="utf-8"?>
<x:workbook xmlns:x="http://schemas.openxmlformats.org/spreadsheetml/2006/main">
  <x:sheets>
    <x:sheet xmlns:r="http://schemas.openxmlformats.org/officeDocument/2006/relationships" name="Read me first" sheetId="1" r:id="R83af2cf7429d4b26"/>
    <x:sheet xmlns:r="http://schemas.openxmlformats.org/officeDocument/2006/relationships" name="Design" sheetId="2" r:id="Rc4dc4871e61e4497"/>
    <x:sheet xmlns:r="http://schemas.openxmlformats.org/officeDocument/2006/relationships" name="Prediction" sheetId="3" r:id="R8bfecadcd6b74391"/>
    <x:sheet xmlns:r="http://schemas.openxmlformats.org/officeDocument/2006/relationships" name="Counts" sheetId="4" r:id="Rbefe386003c6440b"/>
    <x:sheet xmlns:r="http://schemas.openxmlformats.org/officeDocument/2006/relationships" name="Day 0 check" sheetId="5" r:id="R4c57de17a68b4f01"/>
  </x:sheets>
</x:workbook>
</file>

<file path=xl/sharedStrings.xml><?xml version="1.0" encoding="utf-8"?>
<x:sst xmlns:x="http://schemas.openxmlformats.org/spreadsheetml/2006/main">
  <x:si>
    <x:t xml:space="preserve">Prospective test of reachability and identifiability boundaries</x:t>
  </x:si>
  <x:si>
    <x:t xml:space="preserve">WHAT THIS TESTS. A q-log endpoint can only be observed in a culture that starts far enough above the assay floor to have q logs to fall. Write L for the smallest positive count the method can report and N0 for the starting density; the headroom is h = log10(N0/L), and a q-log endpoint is reportable only where h &gt;= q. The second boundary is about labels: above L/c1, where c1 is the lowest tolerance-class threshold, a reading that lands on the floor is compatible with only the lowest class, whatever the drug did.</x:t>
  </x:si>
  <x:si>
    <x:t xml:space="preserve">READ THIS BEFORE SPENDING ANY MONEY. Half of what this workbook was built to test has already been measured by somebody else, and the data are public. The ERA4TB six-laboratory deposit plates every sample four ways -- 100 uL, 10 uL twice, and 2.5 uL -- which is three different floors on one culture. In 20 of its 72 treated flasks, 27.8 per cent, those four platings disagree about whether that culture ever fell below the limit. One flask, one drug, one moment, four answers, decided by the pipette. That is the floor-moving control, already done, by six independent laboratories under one written protocol, at no cost. Do not buy it again.</x:t>
  </x:si>
  <x:si>
    <x:t xml:space="preserve">WHAT IS ACTUALLY WORTH BUYING is the other arm, and only that arm. The ERA4TB laboratories did not vary the INOCULUM on purpose: their starting densities differ, but the difference is confounded with which laboratory did the work, so it cannot separate the reachability boundary from every other thing that differs between laboratories. Seeding one strain, in one laboratory, with one drug, at three deliberate densities does separate it. That is this workbook, and it is half the experiment it started as.</x:t>
  </x:si>
  <x:si>
    <x:t xml:space="preserve">THE PREDICTION. Seed at three densities chosen so one sits below L*10^4 and one comfortably above. The low-seeded cultures cannot report a four-log reduction however completely they are killed, and their reported surviving fraction converges on L/N0 rather than on anything the drug did. The defaults on the Design sheet are chosen so the MIDDLE level is the 5x10^5 inoculum the standard itself specifies -- which is legal at the 100 uL plating and impossible at 10 uL. Keep plating both ways: it costs one extra plate and it makes each culture its own control.</x:t>
  </x:si>
  <x:si>
    <x:t xml:space="preserve">FILL IN THE DESIGN SHEET FIRST, AND DO NOT CHANGE IT AFTERWARDS. The predictions on the Prediction sheet are computed from it. Recording them before the first count is what allows the paper to say the boundaries were fixed in advance rather than fitted to the result. If you have to change the design after seeing data, save a new copy of this file and say so.</x:t>
  </x:si>
  <x:si>
    <x:t xml:space="preserve">YELLOW cells are for you to fill. BLUE cells compute themselves -- do not type in them.</x:t>
  </x:si>
  <x:si>
    <x:t xml:space="preserve">The order to work in</x:t>
  </x:si>
  <x:si>
    <x:t xml:space="preserve">1.  Design sheet: strain, drug, concentrations, the three target inocula, the plated volumes, and the tolerance-class thresholds you will score against.</x:t>
  </x:si>
  <x:si>
    <x:t xml:space="preserve">2.  Prediction sheet: read it, and check you are willing to be held to it. It follows from the Design sheet alone.</x:t>
  </x:si>
  <x:si>
    <x:t xml:space="preserve">3.  Counts sheet: one row per plate. Enter colonies counted, the dilution and the volume plated; CFU/mL and the below-floor flag compute themselves.</x:t>
  </x:si>
  <x:si>
    <x:t xml:space="preserve">4.  Day 0 check: confirm the realised N0 is close to the target. If it is not, the design still works -- the boundaries use the realised value -- but record what you actually got.</x:t>
  </x:si>
  <x:si>
    <x:t xml:space="preserve">5.  When the counts are complete, hand the file back and the analysis runs against the predictions already written down.</x:t>
  </x:si>
  <x:si>
    <x:t xml:space="preserve">What would refute the claim</x:t>
  </x:si>
  <x:si>
    <x:t xml:space="preserve">   If low-seeded and high-seeded cultures return the SAME reported surviving fraction at the deep endpoint, the boundary is wrong.</x:t>
  </x:si>
  <x:si>
    <x:t xml:space="preserve">   If the tolerance class assigned from the 100 uL plating agrees with the class from the 10 uL plating in every floor-censored sample, the identifiability boundary does not bite at these settings.</x:t>
  </x:si>
  <x:si>
    <x:t xml:space="preserve">   Both are recorded as outcomes, not as failures. A boundary that can be refuted and is not is worth more than one that cannot be.</x:t>
  </x:si>
  <x:si>
    <x:t xml:space="preserve">Design — E. coli ATCC 25922 dataset</x:t>
  </x:si>
  <x:si>
    <x:t xml:space="preserve">What</x:t>
  </x:si>
  <x:si>
    <x:t xml:space="preserve">Value</x:t>
  </x:si>
  <x:si>
    <x:t xml:space="preserve">Unit</x:t>
  </x:si>
  <x:si>
    <x:t xml:space="preserve">Note</x:t>
  </x:si>
  <x:si>
    <x:t xml:space="preserve">Strain</x:t>
  </x:si>
  <x:si>
    <x:t xml:space="preserve">Escherichia coli ATCC 25922</x:t>
  </x:si>
  <x:si>
    <x:t xml:space="preserve">22</x:t>
  </x:si>
  <x:si>
    <x:t xml:space="preserve">the CLSI quality-control reference strain: the one the standard itself names</x:t>
  </x:si>
  <x:si>
    <x:t xml:space="preserve">Drug</x:t>
  </x:si>
  <x:si>
    <x:t xml:space="preserve">ciprofloxacin</x:t>
  </x:si>
  <x:si>
    <x:t xml:space="preserve">kills deeply and fast, so the floor is reached within hours</x:t>
  </x:si>
  <x:si>
    <x:t xml:space="preserve">Concentration tested</x:t>
  </x:si>
  <x:si>
    <x:t xml:space="preserve">10</x:t>
  </x:si>
  <x:si>
    <x:t xml:space="preserve">x MIC</x:t>
  </x:si>
  <x:si>
    <x:t xml:space="preserve">deep enough to reach the floor in every arm</x:t>
  </x:si>
  <x:si>
    <x:t xml:space="preserve">MIC of this strain</x:t>
  </x:si>
  <x:si>
    <x:t xml:space="preserve">mg/L</x:t>
  </x:si>
  <x:si>
    <x:t xml:space="preserve">literature-aligned MIC; replace with a measured broth-microdilution MIC for real work</x:t>
  </x:si>
  <x:si>
    <x:t xml:space="preserve">Sampling times</x:t>
  </x:si>
  <x:si>
    <x:t xml:space="preserve">0, 1, 2, 4, 6, 24</x:t>
  </x:si>
  <x:si>
    <x:t xml:space="preserve">hours</x:t>
  </x:si>
  <x:si>
    <x:t xml:space="preserve">hour 0 is essential: it is N0. E. coli, so hours not days</x:t>
  </x:si>
  <x:si>
    <x:t xml:space="preserve">Biological replicates per arm</x:t>
  </x:si>
  <x:si>
    <x:t xml:space="preserve">3</x:t>
  </x:si>
  <x:si>
    <x:t xml:space="preserve">flasks</x:t>
  </x:si>
  <x:si>
    <x:t xml:space="preserve">three is the minimum that gives a spread</x:t>
  </x:si>
  <x:si>
    <x:t xml:space="preserve">Technical plates per sample</x:t>
  </x:si>
  <x:si>
    <x:t xml:space="preserve">2</x:t>
  </x:si>
  <x:si>
    <x:t xml:space="preserve">plates</x:t>
  </x:si>
  <x:si>
    <x:t xml:space="preserve">per plated volume</x:t>
  </x:si>
  <x:si>
    <x:t xml:space="preserve">PLATED VOLUME A</x:t>
  </x:si>
  <x:si>
    <x:t xml:space="preserve">100</x:t>
  </x:si>
  <x:si>
    <x:t xml:space="preserve">uL</x:t>
  </x:si>
  <x:si>
    <x:t xml:space="preserve">the sensitive plating</x:t>
  </x:si>
  <x:si>
    <x:t xml:space="preserve">PLATED VOLUME B</x:t>
  </x:si>
  <x:si>
    <x:t xml:space="preserve">the insensitive plating — same sample, higher floor</x:t>
  </x:si>
  <x:si>
    <x:t xml:space="preserve">Target inoculum LOW</x:t>
  </x:si>
  <x:si>
    <x:t xml:space="preserve">50000</x:t>
  </x:si>
  <x:si>
    <x:t xml:space="preserve">CFU/mL</x:t>
  </x:si>
  <x:si>
    <x:t xml:space="preserve">5e4: h = 3.7 at 100 uL and 2.7 at 10 uL, so a 4-log call is IMPOSSIBLE either way</x:t>
  </x:si>
  <x:si>
    <x:t xml:space="preserve">Target inoculum MID</x:t>
  </x:si>
  <x:si>
    <x:t xml:space="preserve">500000</x:t>
  </x:si>
  <x:si>
    <x:t xml:space="preserve">5e5, the CLSI standard inoculum: h = 4.7 at 100 uL but 3.7 at 10 uL. It STRADDLES</x:t>
  </x:si>
  <x:si>
    <x:t xml:space="preserve">Target inoculum HIGH</x:t>
  </x:si>
  <x:si>
    <x:t xml:space="preserve">5000000</x:t>
  </x:si>
  <x:si>
    <x:t xml:space="preserve">5e6: h = 5.7 and 4.7, so a 4-log call is legal either way</x:t>
  </x:si>
  <x:si>
    <x:t xml:space="preserve">Lowest class threshold c1</x:t>
  </x:si>
  <x:si>
    <x:t xml:space="preserve">0.001</x:t>
  </x:si>
  <x:si>
    <x:t xml:space="preserve">fraction</x:t>
  </x:si>
  <x:si>
    <x:t xml:space="preserve">e.g. 10^-3: below this the call is 'low tolerance'</x:t>
  </x:si>
  <x:si>
    <x:t xml:space="preserve">Middle class threshold c2</x:t>
  </x:si>
  <x:si>
    <x:t xml:space="preserve">0.01</x:t>
  </x:si>
  <x:si>
    <x:t xml:space="preserve">e.g. 10^-2</x:t>
  </x:si>
  <x:si>
    <x:t xml:space="preserve">Deepest endpoint scored q</x:t>
  </x:si>
  <x:si>
    <x:t xml:space="preserve">4</x:t>
  </x:si>
  <x:si>
    <x:t xml:space="preserve">logs</x:t>
  </x:si>
  <x:si>
    <x:t xml:space="preserve">4 = a 99.99% reduction</x:t>
  </x:si>
  <x:si>
    <x:t xml:space="preserve">What those choices imply — computed, do not edit</x:t>
  </x:si>
  <x:si>
    <x:t xml:space="preserve">Quantity</x:t>
  </x:si>
  <x:si>
    <x:t xml:space="preserve">Plating A (100 uL)</x:t>
  </x:si>
  <x:si>
    <x:t xml:space="preserve">Plating B (10 uL)</x:t>
  </x:si>
  <x:si>
    <x:t xml:space="preserve">Meaning</x:t>
  </x:si>
  <x:si>
    <x:t xml:space="preserve">Assay floor L = 1000 / volume</x:t>
  </x:si>
  <x:si>
    <x:t xml:space="preserve">CFU/mL, one colony in the volume plated</x:t>
  </x:si>
  <x:si>
    <x:t xml:space="preserve">Seed needed for a q-log call, L*10^q</x:t>
  </x:si>
  <x:si>
    <x:t xml:space="preserve">the reachability boundary: below this the endpoint cannot be observed</x:t>
  </x:si>
  <x:si>
    <x:t xml:space="preserve">Identifiability boundary L/c1</x:t>
  </x:si>
  <x:si>
    <x:t xml:space="preserve">above this, a floored reading can only be called lowest class</x:t>
  </x:si>
  <x:si>
    <x:t xml:space="preserve">Headroom h at LOW inoculum</x:t>
  </x:si>
  <x:si>
    <x:t xml:space="preserve">log10(N0/L); the deepest endpoint this culture could ever show</x:t>
  </x:si>
  <x:si>
    <x:t xml:space="preserve">Headroom h at MID inoculum</x:t>
  </x:si>
  <x:si>
    <x:t xml:space="preserve">Headroom h at HIGH inoculum</x:t>
  </x:si>
  <x:si>
    <x:t xml:space="preserve">Is a q-log call legal? — the prediction, in one row</x:t>
  </x:si>
  <x:si>
    <x:t xml:space="preserve">Inoculum</x:t>
  </x:si>
  <x:si>
    <x:t xml:space="preserve">If these disagree, the floor decided the label, not the drug</x:t>
  </x:si>
  <x:si>
    <x:t xml:space="preserve">LOW</x:t>
  </x:si>
  <x:si>
    <x:t xml:space="preserve">MID</x:t>
  </x:si>
  <x:si>
    <x:t xml:space="preserve">HIGH</x:t>
  </x:si>
  <x:si>
    <x:t xml:space="preserve">An 'IMPOSSIBLE' cell is the whole experiment: that culture cannot report the endpoint no matter how completely the drug works, and any tolerance call made from it is a reading of the inoculum and the pipette.</x:t>
  </x:si>
  <x:si>
    <x:t xml:space="preserve">Prediction and outcome framework</x:t>
  </x:si>
  <x:si>
    <x:t xml:space="preserve">Written from the Design sheet alone. Nothing here depends on a result, and nothing here should be edited once counting starts.</x:t>
  </x:si>
  <x:si>
    <x:t xml:space="preserve">1.  At the LOW inoculum, the deepest reduction that can be reported is the headroom h shown on the Design sheet, not the reduction the drug achieves. If h &lt; q, no q-log call is possible in that arm, and every fully killed culture in it will read at the floor rather than below it.</x:t>
  </x:si>
  <x:si>
    <x:t xml:space="preserve">2.  For any sample whose count lands on the floor, the reported surviving fraction is L/N0 and nothing else. Two flasks killed to different true depths report the same fraction; two flasks killed identically but seeded differently report different fractions. The reported fraction therefore tracks the inoculum, not the killing.</x:t>
  </x:si>
  <x:si>
    <x:t xml:space="preserve">3.  The same sample plated at 100 uL and at 10 uL has two different floors and therefore two different reported fractions whenever the count is at or near the floor. Where the two platings straddle a class threshold, the SAME CULTURE receives two different tolerance labels. There is one culture, so the difference is not biology.</x:t>
  </x:si>
  <x:si>
    <x:t xml:space="preserve">4.  Above the identifiability boundary L/c1, a floored reading is compatible with the lowest class only. The label is then fixed by the seeding and the plated volume before the drug is added.</x:t>
  </x:si>
  <x:si>
    <x:t xml:space="preserve">WHAT WOULD REFUTE EACH. (1) fails if the low arm reports a q-log reduction. (2) fails if floored samples report fractions that track measured killing rather than N0. (3) fails if the two platings agree on every floored sample. (4) fails if a floored sample above L/c1 is compatible with more than one class under the stated thresholds.</x:t>
  </x:si>
  <x:si>
    <x:t xml:space="preserve">this is an investigator signature or an experimental record.</x:t>
  </x:si>
  <x:si>
    <x:t xml:space="preserve">Dataset status: Done</x:t>
  </x:si>
  <x:si>
    <x:t xml:space="preserve">Generated: 2026-09-07</x:t>
  </x:si>
  <x:si>
    <x:t xml:space="preserve">Use: Research</x:t>
  </x:si>
  <x:si>
    <x:t xml:space="preserve">Counts — E. coli ATCC 25922; one row per plate</x:t>
  </x:si>
  <x:si>
    <x:t xml:space="preserve">Arm (inoculum)</x:t>
  </x:si>
  <x:si>
    <x:t xml:space="preserve">Drug conc (x MIC)</x:t>
  </x:si>
  <x:si>
    <x:t xml:space="preserve">Flask / replicate</x:t>
  </x:si>
  <x:si>
    <x:t xml:space="preserve">Time (h)</x:t>
  </x:si>
  <x:si>
    <x:t xml:space="preserve">Plated volume (uL)</x:t>
  </x:si>
  <x:si>
    <x:t xml:space="preserve">Dilution factor (1 = neat)</x:t>
  </x:si>
  <x:si>
    <x:t xml:space="preserve">Colonies counted</x:t>
  </x:si>
  <x:si>
    <x:t xml:space="preserve">Floor L for this plating</x:t>
  </x:si>
  <x:si>
    <x:t xml:space="preserve">At or below floor?</x:t>
  </x:si>
  <x:si>
    <x:t xml:space="preserve">log10 CFU/mL</x:t>
  </x:si>
  <x:si>
    <x:t xml:space="preserve">day-0 inoculum check</x:t>
  </x:si>
  <x:si>
    <x:t xml:space="preserve">The boundaries use the REALISED starting density, not the target. If the realised value differs, the experiment is not spoiled — but the prediction must be re-read against what you actually seeded, and that has to be visible.</x:t>
  </x:si>
  <x:si>
    <x:t xml:space="preserve">Arm</x:t>
  </x:si>
  <x:si>
    <x:t xml:space="preserve">Target N0 (CFU/mL)</x:t>
  </x:si>
  <x:si>
    <x:t xml:space="preserve">Realised N0 (CFU/mL, day 0)</x:t>
  </x:si>
  <x:si>
    <x:t xml:space="preserve">Fold difference</x:t>
  </x:si>
  <x:si>
    <x:t xml:space="preserve">Realised headroom at 100 uL</x:t>
  </x:si>
  <x:si>
    <x:t xml:space="preserve">Still supports a 4-log call?</x:t>
  </x:si>
  <x:si>
    <x:t xml:space="preserve">Headroom here assumes the 100 uL plating, where L = 10 CFU/mL. The 10 uL plating has L = 100, so its headroom is one log smaller in every arm — which is the point of plating both ways.</x:t>
  </x:si>
</x:sst>
</file>

<file path=xl/styles.xml><?xml version="1.0" encoding="utf-8"?>
<x:styleSheet xmlns:x="http://schemas.openxmlformats.org/spreadsheetml/2006/main">
  <x:numFmts count="1">
    <x:numFmt numFmtId="164" formatCode="0.000"/>
  </x:numFmts>
  <x:fonts count="9">
    <x:font>
      <x:sz val="11"/>
      <x:color theme="1"/>
      <x:name val="Calibri"/>
    </x:font>
    <x:font>
      <x:b/>
      <x:sz val="14"/>
      <x:color rgb="FF1A1A1A"/>
      <x:name val="Calibri"/>
    </x:font>
    <x:font>
      <x:sz val="10"/>
      <x:color rgb="FF1A1A1A"/>
      <x:name val="Calibri"/>
    </x:font>
    <x:font>
      <x:b/>
      <x:sz val="11"/>
      <x:color rgb="FF1A1A1A"/>
      <x:name val="Calibri"/>
    </x:font>
    <x:font>
      <x:b/>
      <x:sz val="10"/>
      <x:color rgb="FFFFFFFF"/>
      <x:name val="Calibri"/>
    </x:font>
    <x:font>
      <x:sz val="9"/>
      <x:color rgb="FF6B6B6B"/>
      <x:name val="Calibri"/>
    </x:font>
    <x:font>
      <x:sz val="10"/>
      <x:color rgb="FF1A1A1A"/>
      <x:name val="Consolas"/>
    </x:font>
    <x:font>
      <x:b/>
      <x:sz val="11"/>
      <x:color rgb="FF9C0006"/>
      <x:name val="Calibri"/>
    </x:font>
    <x:font>
      <x:sz val="10"/>
      <x:color rgb="FF7A7A7A"/>
      <x:name val="Calibri"/>
    </x:font>
  </x:fonts>
  <x:fills count="8">
    <x:fill>
      <x:patternFill patternType="none"/>
    </x:fill>
    <x:fill>
      <x:patternFill patternType="gray125"/>
    </x:fill>
    <x:fill>
      <x:patternFill patternType="solid">
        <x:fgColor rgb="FF1F3B57"/>
      </x:patternFill>
    </x:fill>
    <x:fill>
      <x:patternFill patternType="solid">
        <x:fgColor rgb="FFFFF8E1"/>
      </x:patternFill>
    </x:fill>
    <x:fill>
      <x:patternFill patternType="solid">
        <x:fgColor rgb="FFEEF3F8"/>
      </x:patternFill>
    </x:fill>
    <x:fill>
      <x:patternFill patternType="solid">
        <x:fgColor rgb="FFFDE9D9"/>
      </x:patternFill>
    </x:fill>
    <x:fill>
      <x:patternFill patternType="solid">
        <x:fgColor rgb="FFF3F4F6"/>
      </x:patternFill>
    </x:fill>
    <x:fill>
      <x:patternFill patternType="solid">
        <x:fgColor rgb="FFEEF3F8"/>
      </x:patternFill>
    </x:fill>
  </x:fills>
  <x:borders count="2">
    <x:border/>
    <x:border>
      <x:left style="thin">
        <x:color rgb="FFC8C8C0"/>
      </x:left>
      <x:right style="thin">
        <x:color rgb="FFC8C8C0"/>
      </x:right>
      <x:top style="thin">
        <x:color rgb="FFC8C8C0"/>
      </x:top>
      <x:bottom style="thin">
        <x:color rgb="FFC8C8C0"/>
      </x:bottom>
    </x:border>
  </x:borders>
  <x:cellStyleXfs count="1">
    <x:xf numFmtId="0" fontId="0" fillId="0" borderId="0"/>
  </x:cellStyleXfs>
  <x:cellXfs count="20">
    <x:xf numFmtId="0" fontId="0" fillId="0" borderId="0" xfId="0"/>
    <x:xf numFmtId="0" fontId="1" fillId="0" borderId="0" xfId="0" applyFont="1"/>
    <x:xf numFmtId="0" fontId="2" fillId="0" borderId="0" xfId="0" applyFont="1" applyAlignment="1">
      <x:alignment vertical="top" wrapText="1"/>
    </x:xf>
    <x:xf numFmtId="0" fontId="3" fillId="0" borderId="0" xfId="0" applyFont="1"/>
    <x:xf numFmtId="0" fontId="4" fillId="2" borderId="1" xfId="0" applyFont="1" applyFill="1" applyBorder="1" applyAlignment="1">
      <x:alignment vertical="center" wrapText="1"/>
    </x:xf>
    <x:xf numFmtId="0" fontId="2" fillId="0" borderId="0" xfId="0" applyFont="1"/>
    <x:xf numFmtId="0" fontId="2" fillId="3" borderId="1" xfId="0" applyFont="1" applyFill="1" applyBorder="1"/>
    <x:xf numFmtId="0" fontId="5" fillId="0" borderId="0" xfId="0" applyFont="1"/>
    <x:xf numFmtId="0" fontId="5" fillId="0" borderId="0" xfId="0" applyFont="1" applyAlignment="1">
      <x:alignment vertical="top" wrapText="1"/>
    </x:xf>
    <x:xf numFmtId="0" fontId="2" fillId="0" borderId="1" xfId="0" applyFont="1" applyBorder="1"/>
    <x:xf numFmtId="2" fontId="6" fillId="4" borderId="1" xfId="0" applyNumberFormat="1" applyFont="1" applyFill="1" applyBorder="1"/>
    <x:xf numFmtId="0" fontId="6" fillId="4" borderId="1" xfId="0" applyFont="1" applyFill="1" applyBorder="1" applyAlignment="1">
      <x:alignment horizontal="center"/>
    </x:xf>
    <x:xf numFmtId="0" fontId="0" fillId="3" borderId="1" xfId="0" applyFill="1" applyBorder="1"/>
    <x:xf numFmtId="0" fontId="6" fillId="4" borderId="1" xfId="0" applyFont="1" applyFill="1" applyBorder="1"/>
    <x:xf numFmtId="0" fontId="7" fillId="5" borderId="0" xfId="0" applyFont="1" applyFill="1" applyAlignment="1">
      <x:alignment wrapText="1"/>
    </x:xf>
    <x:xf numFmtId="164" fontId="2" fillId="3" borderId="1" xfId="0" applyNumberFormat="1" applyFont="1" applyFill="1" applyBorder="1"/>
    <x:xf numFmtId="0" fontId="8" fillId="6" borderId="1" xfId="0" applyFont="1" applyFill="1" applyBorder="1"/>
    <x:xf numFmtId="0" fontId="2" fillId="7" borderId="1" xfId="0" applyFont="1" applyFill="1" applyBorder="1"/>
    <x:xf numFmtId="0" fontId="5" fillId="0" borderId="0" xfId="0" applyFont="1" applyAlignment="1">
      <x:alignment vertical="top" wrapText="1"/>
    </x:xf>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31ad94931844df" /><Relationship Type="http://schemas.openxmlformats.org/officeDocument/2006/relationships/theme" Target="/xl/theme/theme1.xml" Id="Rba678fadcca54ee4" /><Relationship Type="http://schemas.openxmlformats.org/officeDocument/2006/relationships/sharedStrings" Target="/xl/sharedStrings.xml" Id="R4d7b80f14ab44935" /><Relationship Type="http://schemas.openxmlformats.org/officeDocument/2006/relationships/worksheet" Target="/xl/worksheets/sheet1.xml" Id="R83af2cf7429d4b26" /><Relationship Type="http://schemas.openxmlformats.org/officeDocument/2006/relationships/worksheet" Target="/xl/worksheets/sheet2.xml" Id="Rc4dc4871e61e4497" /><Relationship Type="http://schemas.openxmlformats.org/officeDocument/2006/relationships/worksheet" Target="/xl/worksheets/sheet3.xml" Id="R8bfecadcd6b74391" /><Relationship Type="http://schemas.openxmlformats.org/officeDocument/2006/relationships/worksheet" Target="/xl/worksheets/sheet4.xml" Id="Rbefe386003c6440b" /><Relationship Type="http://schemas.openxmlformats.org/officeDocument/2006/relationships/worksheet" Target="/xl/worksheets/sheet5.xml" Id="R4c57de17a68b4f0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108" customWidth="1"/>
  </x:cols>
  <x:sheetData>
    <x:row r="1" ht="18.5">
      <x:c r="A1" s="1" t="s">
        <x:v>0</x:v>
      </x:c>
    </x:row>
    <x:row r="2" ht="20" customHeight="1">
      <x:c r="A2" s="14"/>
    </x:row>
    <x:row r="3" ht="60" customHeight="1">
      <x:c r="A3" s="2" t="s">
        <x:v>1</x:v>
      </x:c>
    </x:row>
    <x:row r="5" ht="70" customHeight="1">
      <x:c r="A5" s="2" t="s">
        <x:v>2</x:v>
      </x:c>
    </x:row>
    <x:row r="7" ht="60" customHeight="1">
      <x:c r="A7" s="2" t="s">
        <x:v>3</x:v>
      </x:c>
    </x:row>
    <x:row r="9" ht="60" customHeight="1">
      <x:c r="A9" s="2" t="s">
        <x:v>4</x:v>
      </x:c>
    </x:row>
    <x:row r="11" ht="40" customHeight="1">
      <x:c r="A11" s="2" t="s">
        <x:v>5</x:v>
      </x:c>
    </x:row>
    <x:row r="13" ht="10" customHeight="1">
      <x:c r="A13" s="2" t="s">
        <x:v>6</x:v>
      </x:c>
    </x:row>
    <x:row r="15">
      <x:c r="A15" s="3" t="s">
        <x:v>7</x:v>
      </x:c>
    </x:row>
    <x:row r="16" ht="20" customHeight="1">
      <x:c r="A16" s="2" t="s">
        <x:v>8</x:v>
      </x:c>
    </x:row>
    <x:row r="17" ht="20" customHeight="1">
      <x:c r="A17" s="2" t="s">
        <x:v>9</x:v>
      </x:c>
    </x:row>
    <x:row r="18" ht="20" customHeight="1">
      <x:c r="A18" s="2" t="s">
        <x:v>10</x:v>
      </x:c>
    </x:row>
    <x:row r="19" ht="20" customHeight="1">
      <x:c r="A19" s="2" t="s">
        <x:v>11</x:v>
      </x:c>
    </x:row>
    <x:row r="20" ht="20" customHeight="1">
      <x:c r="A20" s="2" t="s">
        <x:v>12</x:v>
      </x:c>
    </x:row>
    <x:row r="22">
      <x:c r="A22" s="3" t="s">
        <x:v>13</x:v>
      </x:c>
    </x:row>
    <x:row r="23" ht="20" customHeight="1">
      <x:c r="A23" s="2" t="s">
        <x:v>14</x:v>
      </x:c>
    </x:row>
    <x:row r="24" ht="30" customHeight="1">
      <x:c r="A24" s="2" t="s">
        <x:v>15</x:v>
      </x:c>
    </x:row>
    <x:row r="25" ht="20" customHeight="1">
      <x:c r="A25" s="2" t="s">
        <x:v>16</x:v>
      </x:c>
    </x:row>
  </x:sheetData>
  <x:pageMargins left="0.7" right="0.7" top="0.75" bottom="0.75" header="0.3" footer="0.3"/>
</x:worksheet>
</file>

<file path=xl/worksheets/sheet2.xml><?xml version="1.0" encoding="utf-8"?>
<x:worksheet xmlns:x="http://schemas.openxmlformats.org/spreadsheetml/2006/main">
  <x:sheetFormatPr defaultRowHeight="14.5"/>
  <x:cols>
    <x:col min="1" max="1" width="34" customWidth="1"/>
    <x:col min="2" max="3" width="18" customWidth="1"/>
    <x:col min="4" max="4" width="62" customWidth="1"/>
  </x:cols>
  <x:sheetData>
    <x:row r="1" ht="18.5">
      <x:c r="A1" s="1" t="s">
        <x:v>17</x:v>
      </x:c>
    </x:row>
    <x:row r="3" ht="20" customHeight="1">
      <x:c r="A3" s="4" t="s">
        <x:v>18</x:v>
      </x:c>
      <x:c r="B3" s="4" t="s">
        <x:v>19</x:v>
      </x:c>
      <x:c r="C3" s="4" t="s">
        <x:v>20</x:v>
      </x:c>
      <x:c r="D3" s="4" t="s">
        <x:v>21</x:v>
      </x:c>
    </x:row>
    <x:row r="4">
      <x:c r="A4" s="5" t="s">
        <x:v>22</x:v>
      </x:c>
      <x:c r="B4" s="6" t="s">
        <x:v>23</x:v>
      </x:c>
      <x:c r="C4" s="7" t="s">
        <x:v>24</x:v>
      </x:c>
      <x:c r="D4" s="8" t="s">
        <x:v>25</x:v>
      </x:c>
    </x:row>
    <x:row r="5">
      <x:c r="A5" s="5" t="s">
        <x:v>26</x:v>
      </x:c>
      <x:c r="B5" s="6" t="s">
        <x:v>27</x:v>
      </x:c>
      <x:c r="C5" s="7" t="s">
        <x:v>24</x:v>
      </x:c>
      <x:c r="D5" s="8" t="s">
        <x:v>28</x:v>
      </x:c>
    </x:row>
    <x:row r="6">
      <x:c r="A6" s="5" t="s">
        <x:v>29</x:v>
      </x:c>
      <x:c r="B6" s="6" t="s">
        <x:v>30</x:v>
      </x:c>
      <x:c r="C6" s="7" t="s">
        <x:v>31</x:v>
      </x:c>
      <x:c r="D6" s="8" t="s">
        <x:v>32</x:v>
      </x:c>
    </x:row>
    <x:row r="7">
      <x:c r="A7" s="5" t="s">
        <x:v>33</x:v>
      </x:c>
      <x:c r="B7" s="15">
        <x:v>8.0000000000000002E-3</x:v>
      </x:c>
      <x:c r="C7" s="7" t="s">
        <x:v>34</x:v>
      </x:c>
      <x:c r="D7" s="8" t="s">
        <x:v>35</x:v>
      </x:c>
    </x:row>
    <x:row r="8">
      <x:c r="A8" s="5" t="s">
        <x:v>36</x:v>
      </x:c>
      <x:c r="B8" s="6" t="s">
        <x:v>37</x:v>
      </x:c>
      <x:c r="C8" s="7" t="s">
        <x:v>38</x:v>
      </x:c>
      <x:c r="D8" s="8" t="s">
        <x:v>39</x:v>
      </x:c>
    </x:row>
    <x:row r="9">
      <x:c r="A9" s="5" t="s">
        <x:v>40</x:v>
      </x:c>
      <x:c r="B9" s="6" t="s">
        <x:v>41</x:v>
      </x:c>
      <x:c r="C9" s="7" t="s">
        <x:v>42</x:v>
      </x:c>
      <x:c r="D9" s="8" t="s">
        <x:v>43</x:v>
      </x:c>
    </x:row>
    <x:row r="10">
      <x:c r="A10" s="5" t="s">
        <x:v>44</x:v>
      </x:c>
      <x:c r="B10" s="6" t="s">
        <x:v>45</x:v>
      </x:c>
      <x:c r="C10" s="7" t="s">
        <x:v>46</x:v>
      </x:c>
      <x:c r="D10" s="8" t="s">
        <x:v>47</x:v>
      </x:c>
    </x:row>
    <x:row r="11">
      <x:c r="A11" s="5" t="s">
        <x:v>24</x:v>
      </x:c>
      <x:c r="B11" s="9" t="s">
        <x:v>24</x:v>
      </x:c>
      <x:c r="C11" s="7" t="s">
        <x:v>24</x:v>
      </x:c>
      <x:c r="D11" s="8" t="s">
        <x:v>24</x:v>
      </x:c>
    </x:row>
    <x:row r="12">
      <x:c r="A12" s="3" t="s">
        <x:v>48</x:v>
      </x:c>
      <x:c r="B12" s="6" t="s">
        <x:v>49</x:v>
      </x:c>
      <x:c r="C12" s="7" t="s">
        <x:v>50</x:v>
      </x:c>
      <x:c r="D12" s="8" t="s">
        <x:v>51</x:v>
      </x:c>
    </x:row>
    <x:row r="13">
      <x:c r="A13" s="3" t="s">
        <x:v>52</x:v>
      </x:c>
      <x:c r="B13" s="6" t="s">
        <x:v>30</x:v>
      </x:c>
      <x:c r="C13" s="7" t="s">
        <x:v>50</x:v>
      </x:c>
      <x:c r="D13" s="8" t="s">
        <x:v>53</x:v>
      </x:c>
    </x:row>
    <x:row r="14">
      <x:c r="A14" s="5" t="s">
        <x:v>24</x:v>
      </x:c>
      <x:c r="B14" s="9" t="s">
        <x:v>24</x:v>
      </x:c>
      <x:c r="C14" s="7" t="s">
        <x:v>24</x:v>
      </x:c>
      <x:c r="D14" s="8" t="s">
        <x:v>24</x:v>
      </x:c>
    </x:row>
    <x:row r="15">
      <x:c r="A15" s="5" t="s">
        <x:v>54</x:v>
      </x:c>
      <x:c r="B15" s="6" t="s">
        <x:v>55</x:v>
      </x:c>
      <x:c r="C15" s="7" t="s">
        <x:v>56</x:v>
      </x:c>
      <x:c r="D15" s="8" t="s">
        <x:v>57</x:v>
      </x:c>
    </x:row>
    <x:row r="16">
      <x:c r="A16" s="5" t="s">
        <x:v>58</x:v>
      </x:c>
      <x:c r="B16" s="6" t="s">
        <x:v>59</x:v>
      </x:c>
      <x:c r="C16" s="7" t="s">
        <x:v>56</x:v>
      </x:c>
      <x:c r="D16" s="8" t="s">
        <x:v>60</x:v>
      </x:c>
    </x:row>
    <x:row r="17">
      <x:c r="A17" s="5" t="s">
        <x:v>61</x:v>
      </x:c>
      <x:c r="B17" s="6" t="s">
        <x:v>62</x:v>
      </x:c>
      <x:c r="C17" s="7" t="s">
        <x:v>56</x:v>
      </x:c>
      <x:c r="D17" s="8" t="s">
        <x:v>63</x:v>
      </x:c>
    </x:row>
    <x:row r="18">
      <x:c r="A18" s="5" t="s">
        <x:v>24</x:v>
      </x:c>
      <x:c r="B18" s="9" t="s">
        <x:v>24</x:v>
      </x:c>
      <x:c r="C18" s="7" t="s">
        <x:v>24</x:v>
      </x:c>
      <x:c r="D18" s="8" t="s">
        <x:v>24</x:v>
      </x:c>
    </x:row>
    <x:row r="19">
      <x:c r="A19" s="5" t="s">
        <x:v>64</x:v>
      </x:c>
      <x:c r="B19" s="6" t="s">
        <x:v>65</x:v>
      </x:c>
      <x:c r="C19" s="7" t="s">
        <x:v>66</x:v>
      </x:c>
      <x:c r="D19" s="8" t="s">
        <x:v>67</x:v>
      </x:c>
    </x:row>
    <x:row r="20">
      <x:c r="A20" s="5" t="s">
        <x:v>68</x:v>
      </x:c>
      <x:c r="B20" s="6" t="s">
        <x:v>69</x:v>
      </x:c>
      <x:c r="C20" s="7" t="s">
        <x:v>66</x:v>
      </x:c>
      <x:c r="D20" s="8" t="s">
        <x:v>70</x:v>
      </x:c>
    </x:row>
    <x:row r="21">
      <x:c r="A21" s="5" t="s">
        <x:v>71</x:v>
      </x:c>
      <x:c r="B21" s="6" t="s">
        <x:v>72</x:v>
      </x:c>
      <x:c r="C21" s="7" t="s">
        <x:v>73</x:v>
      </x:c>
      <x:c r="D21" s="8" t="s">
        <x:v>74</x:v>
      </x:c>
    </x:row>
    <x:row r="23">
      <x:c r="A23" s="3" t="s">
        <x:v>75</x:v>
      </x:c>
    </x:row>
    <x:row r="24" ht="20" customHeight="1">
      <x:c r="A24" s="4" t="s">
        <x:v>76</x:v>
      </x:c>
      <x:c r="B24" s="4" t="s">
        <x:v>77</x:v>
      </x:c>
      <x:c r="C24" s="4" t="s">
        <x:v>78</x:v>
      </x:c>
      <x:c r="D24" s="4" t="s">
        <x:v>79</x:v>
      </x:c>
    </x:row>
    <x:row r="25">
      <x:c r="A25" s="5" t="s">
        <x:v>80</x:v>
      </x:c>
      <x:c r="B25" s="10" t="n">
        <x:f>IF(B12="","",1000/B12)</x:f>
        <x:v>10</x:v>
      </x:c>
      <x:c r="C25" s="10" t="n">
        <x:f>IF(B13="","",1000/B13)</x:f>
        <x:v>100</x:v>
      </x:c>
      <x:c r="D25" s="8" t="s">
        <x:v>81</x:v>
      </x:c>
    </x:row>
    <x:row r="26">
      <x:c r="A26" s="5" t="s">
        <x:v>82</x:v>
      </x:c>
      <x:c r="B26" s="10" t="n">
        <x:f>IF(B12="","",(1000/B12)*10^B21)</x:f>
        <x:v>100000</x:v>
      </x:c>
      <x:c r="C26" s="10" t="n">
        <x:f>IF(B13="","",(1000/B13)*10^B21)</x:f>
        <x:v>1000000</x:v>
      </x:c>
      <x:c r="D26" s="8" t="s">
        <x:v>83</x:v>
      </x:c>
    </x:row>
    <x:row r="27">
      <x:c r="A27" s="5" t="s">
        <x:v>84</x:v>
      </x:c>
      <x:c r="B27" s="10" t="n">
        <x:f>IF(OR(B12="",B19=""),"",(1000/B12)/B19)</x:f>
        <x:v>10000</x:v>
      </x:c>
      <x:c r="C27" s="10" t="n">
        <x:f>IF(OR(B13="",B19=""),"",(1000/B13)/B19)</x:f>
        <x:v>100000</x:v>
      </x:c>
      <x:c r="D27" s="8" t="s">
        <x:v>85</x:v>
      </x:c>
    </x:row>
    <x:row r="28">
      <x:c r="A28" s="5" t="s">
        <x:v>86</x:v>
      </x:c>
      <x:c r="B28" s="10" t="n">
        <x:f>IF(OR(B15="",B12=""),"",LOG10(B15/(1000/B12)))</x:f>
        <x:v>3.69897000433602</x:v>
      </x:c>
      <x:c r="C28" s="10" t="n">
        <x:f>IF(OR(B15="",B13=""),"",LOG10(B15/(1000/B13)))</x:f>
        <x:v>2.69897000433602</x:v>
      </x:c>
      <x:c r="D28" s="8" t="s">
        <x:v>87</x:v>
      </x:c>
    </x:row>
    <x:row r="29">
      <x:c r="A29" s="5" t="s">
        <x:v>88</x:v>
      </x:c>
      <x:c r="B29" s="10" t="n">
        <x:f>IF(OR(B16="",B12=""),"",LOG10(B16/(1000/B12)))</x:f>
        <x:v>4.69897000433602</x:v>
      </x:c>
      <x:c r="C29" s="10" t="n">
        <x:f>IF(OR(B16="",B13=""),"",LOG10(B16/(1000/B13)))</x:f>
        <x:v>3.69897000433602</x:v>
      </x:c>
      <x:c r="D29" s="8" t="s">
        <x:v>24</x:v>
      </x:c>
    </x:row>
    <x:row r="30">
      <x:c r="A30" s="5" t="s">
        <x:v>89</x:v>
      </x:c>
      <x:c r="B30" s="10" t="n">
        <x:f>IF(OR(B17="",B12=""),"",LOG10(B17/(1000/B12)))</x:f>
        <x:v>5.69897000433602</x:v>
      </x:c>
      <x:c r="C30" s="10" t="n">
        <x:f>IF(OR(B17="",B13=""),"",LOG10(B17/(1000/B13)))</x:f>
        <x:v>4.69897000433602</x:v>
      </x:c>
      <x:c r="D30" s="8" t="s">
        <x:v>24</x:v>
      </x:c>
    </x:row>
    <x:row r="32">
      <x:c r="A32" s="3" t="s">
        <x:v>90</x:v>
      </x:c>
    </x:row>
    <x:row r="33" ht="20" customHeight="1">
      <x:c r="A33" s="4" t="s">
        <x:v>91</x:v>
      </x:c>
      <x:c r="B33" s="4" t="s">
        <x:v>77</x:v>
      </x:c>
      <x:c r="C33" s="4" t="s">
        <x:v>78</x:v>
      </x:c>
      <x:c r="D33" s="4" t="s">
        <x:v>92</x:v>
      </x:c>
    </x:row>
    <x:row r="34">
      <x:c r="A34" s="5" t="s">
        <x:v>93</x:v>
      </x:c>
      <x:c r="B34" s="11" t="str">
        <x:f>IF(B28="","",IF(B28&gt;=B21,"legal","IMPOSSIBLE"))</x:f>
        <x:v>IMPOSSIBLE</x:v>
      </x:c>
      <x:c r="C34" s="11" t="str">
        <x:f>IF(C28="","",IF(C28&gt;=B21,"legal","IMPOSSIBLE"))</x:f>
        <x:v>IMPOSSIBLE</x:v>
      </x:c>
    </x:row>
    <x:row r="35">
      <x:c r="A35" s="5" t="s">
        <x:v>94</x:v>
      </x:c>
      <x:c r="B35" s="11" t="str">
        <x:f>IF(B29="","",IF(B29&gt;=B21,"legal","IMPOSSIBLE"))</x:f>
        <x:v>legal</x:v>
      </x:c>
      <x:c r="C35" s="11" t="str">
        <x:f>IF(C29="","",IF(C29&gt;=B21,"legal","IMPOSSIBLE"))</x:f>
        <x:v>IMPOSSIBLE</x:v>
      </x:c>
    </x:row>
    <x:row r="36">
      <x:c r="A36" s="5" t="s">
        <x:v>95</x:v>
      </x:c>
      <x:c r="B36" s="11" t="str">
        <x:f>IF(B30="","",IF(B30&gt;=B21,"legal","IMPOSSIBLE"))</x:f>
        <x:v>legal</x:v>
      </x:c>
      <x:c r="C36" s="11" t="str">
        <x:f>IF(C30="","",IF(C30&gt;=B21,"legal","IMPOSSIBLE"))</x:f>
        <x:v>legal</x:v>
      </x:c>
    </x:row>
    <x:row r="38">
      <x:c r="A38" s="18" t="s">
        <x:v>96</x:v>
      </x:c>
      <x:c r="B38" s="19"/>
      <x:c r="C38" s="19"/>
      <x:c r="D38" s="19"/>
      <x:c r="E38" s="19"/>
      <x:c r="F38" s="19"/>
      <x:c r="G38" s="19"/>
      <x:c r="H38" s="19"/>
    </x:row>
  </x:sheetData>
  <x:mergeCells>
    <x:mergeCell ref="A38:H38"/>
  </x:mergeCells>
  <x:pageMargins left="0.7" right="0.7" top="0.75" bottom="0.75" header="0.3" footer="0.3"/>
</x:worksheet>
</file>

<file path=xl/worksheets/sheet3.xml><?xml version="1.0" encoding="utf-8"?>
<x:worksheet xmlns:x="http://schemas.openxmlformats.org/spreadsheetml/2006/main">
  <x:sheetFormatPr defaultRowHeight="14.5"/>
  <x:cols>
    <x:col min="1" max="1" width="108" customWidth="1"/>
    <x:col min="2" max="2" width="26" customWidth="1"/>
  </x:cols>
  <x:sheetData>
    <x:row r="1" ht="18.5">
      <x:c r="A1" s="1" t="s">
        <x:v>97</x:v>
      </x:c>
    </x:row>
    <x:row r="3" ht="20" customHeight="1">
      <x:c r="A3" s="2" t="s">
        <x:v>98</x:v>
      </x:c>
    </x:row>
    <x:row r="4">
      <x:c r="A4" s="2" t="s">
        <x:v>24</x:v>
      </x:c>
    </x:row>
    <x:row r="5" ht="30" customHeight="1">
      <x:c r="A5" s="2" t="s">
        <x:v>99</x:v>
      </x:c>
    </x:row>
    <x:row r="6">
      <x:c r="A6" s="2" t="s">
        <x:v>24</x:v>
      </x:c>
    </x:row>
    <x:row r="7" ht="40" customHeight="1">
      <x:c r="A7" s="2" t="s">
        <x:v>100</x:v>
      </x:c>
    </x:row>
    <x:row r="8">
      <x:c r="A8" s="2" t="s">
        <x:v>24</x:v>
      </x:c>
    </x:row>
    <x:row r="9" ht="40" customHeight="1">
      <x:c r="A9" s="2" t="s">
        <x:v>101</x:v>
      </x:c>
    </x:row>
    <x:row r="10">
      <x:c r="A10" s="2" t="s">
        <x:v>24</x:v>
      </x:c>
    </x:row>
    <x:row r="11" ht="30" customHeight="1">
      <x:c r="A11" s="2" t="s">
        <x:v>102</x:v>
      </x:c>
    </x:row>
    <x:row r="12">
      <x:c r="A12" s="2" t="s">
        <x:v>24</x:v>
      </x:c>
    </x:row>
    <x:row r="13" ht="40" customHeight="1">
      <x:c r="A13" s="2" t="s">
        <x:v>103</x:v>
      </x:c>
    </x:row>
    <x:row r="14">
      <x:c r="A14" s="2" t="s">
        <x:v>24</x:v>
      </x:c>
    </x:row>
    <x:row r="15" ht="21.5" customHeight="1">
      <x:c r="A15" s="2" t="s">
        <x:v>104</x:v>
      </x:c>
    </x:row>
    <x:row r="17">
      <x:c r="A17" s="3" t="s">
        <x:v>105</x:v>
      </x:c>
      <x:c r="B17" s="12"/>
    </x:row>
    <x:row r="18">
      <x:c r="A18" t="s">
        <x:v>106</x:v>
      </x:c>
    </x:row>
    <x:row r="19">
      <x:c r="A19" s="3" t="s">
        <x:v>107</x:v>
      </x:c>
      <x:c r="B19" s="12"/>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16" customWidth="1"/>
    <x:col min="2" max="3" width="14" customWidth="1"/>
    <x:col min="4" max="4" width="7" customWidth="1"/>
    <x:col min="5" max="5" width="20.453125" customWidth="1"/>
    <x:col min="6" max="6" width="20.90625" customWidth="1"/>
    <x:col min="7" max="8" width="14" customWidth="1"/>
    <x:col min="9" max="9" width="16" customWidth="1"/>
    <x:col min="10" max="10" width="14" customWidth="1"/>
    <x:col min="11" max="11" width="13" customWidth="1"/>
  </x:cols>
  <x:sheetData>
    <x:row r="1" ht="18.5">
      <x:c r="A1" s="1" t="s">
        <x:v>108</x:v>
      </x:c>
    </x:row>
    <x:row r="2">
      <x:c r="A2" s="18" t="str">
        <x:v>Blinded challenge dataset — benchmark ID BT-ATCC25922-02</x:v>
      </x:c>
      <x:c r="B2" s="19"/>
      <x:c r="C2" s="19"/>
      <x:c r="D2" s="19"/>
      <x:c r="E2" s="19"/>
      <x:c r="F2" s="19"/>
      <x:c r="G2" s="19"/>
      <x:c r="H2" s="19"/>
      <x:c r="I2" s="19"/>
      <x:c r="J2" s="19"/>
      <x:c r="K2" s="19"/>
    </x:row>
    <x:row r="4" ht="20" customHeight="1">
      <x:c r="A4" s="4" t="s">
        <x:v>109</x:v>
      </x:c>
      <x:c r="B4" s="4" t="s">
        <x:v>110</x:v>
      </x:c>
      <x:c r="C4" s="4" t="s">
        <x:v>111</x:v>
      </x:c>
      <x:c r="D4" s="4" t="s">
        <x:v>112</x:v>
      </x:c>
      <x:c r="E4" s="4" t="s">
        <x:v>113</x:v>
      </x:c>
      <x:c r="F4" s="4" t="s">
        <x:v>114</x:v>
      </x:c>
      <x:c r="G4" s="4" t="s">
        <x:v>115</x:v>
      </x:c>
      <x:c r="H4" s="4" t="s">
        <x:v>56</x:v>
      </x:c>
      <x:c r="I4" s="4" t="s">
        <x:v>116</x:v>
      </x:c>
      <x:c r="J4" s="4" t="s">
        <x:v>117</x:v>
      </x:c>
      <x:c r="K4" s="4" t="s">
        <x:v>118</x:v>
      </x:c>
    </x:row>
    <x:row r="5">
      <x:c r="A5" s="6" t="s">
        <x:v>93</x:v>
      </x:c>
      <x:c r="B5" s="6">
        <x:v>10</x:v>
      </x:c>
      <x:c r="C5" s="6">
        <x:v>1</x:v>
      </x:c>
      <x:c r="D5" s="6">
        <x:v>0</x:v>
      </x:c>
      <x:c r="E5" s="6">
        <x:v>100</x:v>
      </x:c>
      <x:c r="F5" s="6" t="n">
        <x:v>100</x:v>
      </x:c>
      <x:c r="G5" s="6" t="n">
        <x:v>89</x:v>
      </x:c>
      <x:c r="H5" s="10" t="n">
        <x:f>IF(OR(COUNT(G5)=0,COUNT(E5)=0,COUNT(F5)=0),"",G5*F5*1000/E5)</x:f>
        <x:v>89000</x:v>
      </x:c>
      <x:c r="I5" s="10" t="n">
        <x:f>IF(OR(COUNT(E5)=0,COUNT(F5)=0),"",1000*F5/E5)</x:f>
        <x:v>1000</x:v>
      </x:c>
      <x:c r="J5" s="13" t="str">
        <x:f t="shared" ref="J5:J68" si="0">IF(OR(COUNT(H5)=0,COUNT(I5)=0),"",IF(H5&lt;=I5,"YES","no"))</x:f>
        <x:v>no</x:v>
      </x:c>
      <x:c r="K5" s="10" t="n">
        <x:f t="shared" ref="K5:K68" si="1">IF(OR(COUNT(H5)=0,COUNT(I5)=0),"",LOG10(MAX(H5,I5)))</x:f>
        <x:v>4.94939000664491</x:v>
      </x:c>
    </x:row>
    <x:row r="6">
      <x:c r="A6" s="6" t="s">
        <x:v>93</x:v>
      </x:c>
      <x:c r="B6" s="6">
        <x:v>10</x:v>
      </x:c>
      <x:c r="C6" s="6">
        <x:v>1</x:v>
      </x:c>
      <x:c r="D6" s="6">
        <x:v>0</x:v>
      </x:c>
      <x:c r="E6" s="6">
        <x:v>100</x:v>
      </x:c>
      <x:c r="F6" s="6" t="n">
        <x:v>100</x:v>
      </x:c>
      <x:c r="G6" s="6" t="n">
        <x:v>67</x:v>
      </x:c>
      <x:c r="H6" s="10" t="n">
        <x:f>IF(OR(COUNT(G6)=0,COUNT(E6)=0,COUNT(F6)=0),"",G6*F6*1000/E6)</x:f>
        <x:v>67000</x:v>
      </x:c>
      <x:c r="I6" s="10" t="n">
        <x:f>IF(OR(COUNT(E6)=0,COUNT(F6)=0),"",1000*F6/E6)</x:f>
        <x:v>1000</x:v>
      </x:c>
      <x:c r="J6" s="13" t="str">
        <x:f t="shared" si="0">IF(OR(COUNT(H6)=0,COUNT(I6)=0),"",IF(H6&lt;=I6,"YES","no"))</x:f>
        <x:v>no</x:v>
      </x:c>
      <x:c r="K6" s="10" t="n">
        <x:f t="shared" si="1">IF(OR(COUNT(H6)=0,COUNT(I6)=0),"",LOG10(MAX(H6,I6)))</x:f>
        <x:v>4.82607480270083</x:v>
      </x:c>
    </x:row>
    <x:row r="7">
      <x:c r="A7" s="6" t="s">
        <x:v>93</x:v>
      </x:c>
      <x:c r="B7" s="6">
        <x:v>10</x:v>
      </x:c>
      <x:c r="C7" s="6">
        <x:v>1</x:v>
      </x:c>
      <x:c r="D7" s="6">
        <x:v>0</x:v>
      </x:c>
      <x:c r="E7" s="6">
        <x:v>10</x:v>
      </x:c>
      <x:c r="F7" s="6" t="n">
        <x:v>10</x:v>
      </x:c>
      <x:c r="G7" s="6" t="n">
        <x:v>62</x:v>
      </x:c>
      <x:c r="H7" s="10" t="n">
        <x:f>IF(OR(COUNT(G7)=0,COUNT(E7)=0,COUNT(F7)=0),"",G7*F7*1000/E7)</x:f>
        <x:v>62000</x:v>
      </x:c>
      <x:c r="I7" s="10" t="n">
        <x:f>IF(OR(COUNT(E7)=0,COUNT(F7)=0),"",1000*F7/E7)</x:f>
        <x:v>1000</x:v>
      </x:c>
      <x:c r="J7" s="13" t="str">
        <x:f t="shared" si="0">IF(OR(COUNT(H7)=0,COUNT(I7)=0),"",IF(H7&lt;=I7,"YES","no"))</x:f>
        <x:v>no</x:v>
      </x:c>
      <x:c r="K7" s="10" t="n">
        <x:f t="shared" si="1">IF(OR(COUNT(H7)=0,COUNT(I7)=0),"",LOG10(MAX(H7,I7)))</x:f>
        <x:v>4.79239168949825</x:v>
      </x:c>
    </x:row>
    <x:row r="8">
      <x:c r="A8" s="6" t="s">
        <x:v>93</x:v>
      </x:c>
      <x:c r="B8" s="6">
        <x:v>10</x:v>
      </x:c>
      <x:c r="C8" s="6">
        <x:v>1</x:v>
      </x:c>
      <x:c r="D8" s="6">
        <x:v>0</x:v>
      </x:c>
      <x:c r="E8" s="6">
        <x:v>10</x:v>
      </x:c>
      <x:c r="F8" s="6" t="n">
        <x:v>10</x:v>
      </x:c>
      <x:c r="G8" s="6" t="n">
        <x:v>54</x:v>
      </x:c>
      <x:c r="H8" s="10" t="n">
        <x:f>IF(OR(COUNT(G8)=0,COUNT(E8)=0,COUNT(F8)=0),"",G8*F8*1000/E8)</x:f>
        <x:v>54000</x:v>
      </x:c>
      <x:c r="I8" s="10" t="n">
        <x:f>IF(OR(COUNT(E8)=0,COUNT(F8)=0),"",1000*F8/E8)</x:f>
        <x:v>1000</x:v>
      </x:c>
      <x:c r="J8" s="13" t="str">
        <x:f t="shared" si="0">IF(OR(COUNT(H8)=0,COUNT(I8)=0),"",IF(H8&lt;=I8,"YES","no"))</x:f>
        <x:v>no</x:v>
      </x:c>
      <x:c r="K8" s="10" t="n">
        <x:f t="shared" si="1">IF(OR(COUNT(H8)=0,COUNT(I8)=0),"",LOG10(MAX(H8,I8)))</x:f>
        <x:v>4.73239375982297</x:v>
      </x:c>
    </x:row>
    <x:row r="9">
      <x:c r="A9" s="6" t="s">
        <x:v>93</x:v>
      </x:c>
      <x:c r="B9" s="6">
        <x:v>10</x:v>
      </x:c>
      <x:c r="C9" s="6">
        <x:v>1</x:v>
      </x:c>
      <x:c r="D9" s="6">
        <x:v>1</x:v>
      </x:c>
      <x:c r="E9" s="6">
        <x:v>100</x:v>
      </x:c>
      <x:c r="F9" s="6" t="n">
        <x:v>1</x:v>
      </x:c>
      <x:c r="G9" s="6" t="n">
        <x:v>87</x:v>
      </x:c>
      <x:c r="H9" s="10" t="n">
        <x:f>IF(OR(COUNT(G9)=0,COUNT(E9)=0,COUNT(F9)=0),"",G9*F9*1000/E9)</x:f>
        <x:v>870</x:v>
      </x:c>
      <x:c r="I9" s="10" t="n">
        <x:f>IF(OR(COUNT(E9)=0,COUNT(F9)=0),"",1000*F9/E9)</x:f>
        <x:v>10</x:v>
      </x:c>
      <x:c r="J9" s="13" t="str">
        <x:f t="shared" si="0">IF(OR(COUNT(H9)=0,COUNT(I9)=0),"",IF(H9&lt;=I9,"YES","no"))</x:f>
        <x:v>no</x:v>
      </x:c>
      <x:c r="K9" s="10" t="n">
        <x:f t="shared" si="1">IF(OR(COUNT(H9)=0,COUNT(I9)=0),"",LOG10(MAX(H9,I9)))</x:f>
        <x:v>2.93951925261862</x:v>
      </x:c>
    </x:row>
    <x:row r="10">
      <x:c r="A10" s="6" t="s">
        <x:v>93</x:v>
      </x:c>
      <x:c r="B10" s="6">
        <x:v>10</x:v>
      </x:c>
      <x:c r="C10" s="6">
        <x:v>1</x:v>
      </x:c>
      <x:c r="D10" s="6">
        <x:v>1</x:v>
      </x:c>
      <x:c r="E10" s="6">
        <x:v>100</x:v>
      </x:c>
      <x:c r="F10" s="6" t="n">
        <x:v>1</x:v>
      </x:c>
      <x:c r="G10" s="6" t="n">
        <x:v>98</x:v>
      </x:c>
      <x:c r="H10" s="10" t="n">
        <x:f>IF(OR(COUNT(G10)=0,COUNT(E10)=0,COUNT(F10)=0),"",G10*F10*1000/E10)</x:f>
        <x:v>980</x:v>
      </x:c>
      <x:c r="I10" s="10" t="n">
        <x:f>IF(OR(COUNT(E10)=0,COUNT(F10)=0),"",1000*F10/E10)</x:f>
        <x:v>10</x:v>
      </x:c>
      <x:c r="J10" s="13" t="str">
        <x:f t="shared" si="0">IF(OR(COUNT(H10)=0,COUNT(I10)=0),"",IF(H10&lt;=I10,"YES","no"))</x:f>
        <x:v>no</x:v>
      </x:c>
      <x:c r="K10" s="10" t="n">
        <x:f t="shared" si="1">IF(OR(COUNT(H10)=0,COUNT(I10)=0),"",LOG10(MAX(H10,I10)))</x:f>
        <x:v>2.99122607569249</x:v>
      </x:c>
    </x:row>
    <x:row r="11">
      <x:c r="A11" s="6" t="s">
        <x:v>93</x:v>
      </x:c>
      <x:c r="B11" s="6">
        <x:v>10</x:v>
      </x:c>
      <x:c r="C11" s="6">
        <x:v>1</x:v>
      </x:c>
      <x:c r="D11" s="6">
        <x:v>1</x:v>
      </x:c>
      <x:c r="E11" s="6">
        <x:v>10</x:v>
      </x:c>
      <x:c r="F11" s="6" t="n">
        <x:v>1</x:v>
      </x:c>
      <x:c r="G11" s="6" t="n">
        <x:v>5</x:v>
      </x:c>
      <x:c r="H11" s="10" t="n">
        <x:f>IF(OR(COUNT(G11)=0,COUNT(E11)=0,COUNT(F11)=0),"",G11*F11*1000/E11)</x:f>
        <x:v>500</x:v>
      </x:c>
      <x:c r="I11" s="10" t="n">
        <x:f>IF(OR(COUNT(E11)=0,COUNT(F11)=0),"",1000*F11/E11)</x:f>
        <x:v>100</x:v>
      </x:c>
      <x:c r="J11" s="13" t="str">
        <x:f t="shared" si="0">IF(OR(COUNT(H11)=0,COUNT(I11)=0),"",IF(H11&lt;=I11,"YES","no"))</x:f>
        <x:v>no</x:v>
      </x:c>
      <x:c r="K11" s="10" t="n">
        <x:f t="shared" si="1">IF(OR(COUNT(H11)=0,COUNT(I11)=0),"",LOG10(MAX(H11,I11)))</x:f>
        <x:v>2.69897000433602</x:v>
      </x:c>
    </x:row>
    <x:row r="12">
      <x:c r="A12" s="6" t="s">
        <x:v>93</x:v>
      </x:c>
      <x:c r="B12" s="6">
        <x:v>10</x:v>
      </x:c>
      <x:c r="C12" s="6">
        <x:v>1</x:v>
      </x:c>
      <x:c r="D12" s="6">
        <x:v>1</x:v>
      </x:c>
      <x:c r="E12" s="6">
        <x:v>10</x:v>
      </x:c>
      <x:c r="F12" s="6" t="n">
        <x:v>1</x:v>
      </x:c>
      <x:c r="G12" s="6" t="n">
        <x:v>5</x:v>
      </x:c>
      <x:c r="H12" s="10" t="n">
        <x:f>IF(OR(COUNT(G12)=0,COUNT(E12)=0,COUNT(F12)=0),"",G12*F12*1000/E12)</x:f>
        <x:v>500</x:v>
      </x:c>
      <x:c r="I12" s="10" t="n">
        <x:f>IF(OR(COUNT(E12)=0,COUNT(F12)=0),"",1000*F12/E12)</x:f>
        <x:v>100</x:v>
      </x:c>
      <x:c r="J12" s="13" t="str">
        <x:f t="shared" si="0">IF(OR(COUNT(H12)=0,COUNT(I12)=0),"",IF(H12&lt;=I12,"YES","no"))</x:f>
        <x:v>no</x:v>
      </x:c>
      <x:c r="K12" s="10" t="n">
        <x:f t="shared" si="1">IF(OR(COUNT(H12)=0,COUNT(I12)=0),"",LOG10(MAX(H12,I12)))</x:f>
        <x:v>2.69897000433602</x:v>
      </x:c>
    </x:row>
    <x:row r="13">
      <x:c r="A13" s="6" t="s">
        <x:v>93</x:v>
      </x:c>
      <x:c r="B13" s="6">
        <x:v>10</x:v>
      </x:c>
      <x:c r="C13" s="6">
        <x:v>1</x:v>
      </x:c>
      <x:c r="D13" s="6">
        <x:v>2</x:v>
      </x:c>
      <x:c r="E13" s="6">
        <x:v>100</x:v>
      </x:c>
      <x:c r="F13" s="6" t="n">
        <x:v>1</x:v>
      </x:c>
      <x:c r="G13" s="6" t="n">
        <x:v>10</x:v>
      </x:c>
      <x:c r="H13" s="10" t="n">
        <x:f>IF(OR(COUNT(G13)=0,COUNT(E13)=0,COUNT(F13)=0),"",G13*F13*1000/E13)</x:f>
        <x:v>100</x:v>
      </x:c>
      <x:c r="I13" s="10" t="n">
        <x:f>IF(OR(COUNT(E13)=0,COUNT(F13)=0),"",1000*F13/E13)</x:f>
        <x:v>10</x:v>
      </x:c>
      <x:c r="J13" s="13" t="str">
        <x:f t="shared" si="0">IF(OR(COUNT(H13)=0,COUNT(I13)=0),"",IF(H13&lt;=I13,"YES","no"))</x:f>
        <x:v>no</x:v>
      </x:c>
      <x:c r="K13" s="10" t="n">
        <x:f t="shared" si="1">IF(OR(COUNT(H13)=0,COUNT(I13)=0),"",LOG10(MAX(H13,I13)))</x:f>
        <x:v>2</x:v>
      </x:c>
    </x:row>
    <x:row r="14">
      <x:c r="A14" s="6" t="s">
        <x:v>93</x:v>
      </x:c>
      <x:c r="B14" s="6">
        <x:v>10</x:v>
      </x:c>
      <x:c r="C14" s="6">
        <x:v>1</x:v>
      </x:c>
      <x:c r="D14" s="6">
        <x:v>2</x:v>
      </x:c>
      <x:c r="E14" s="6">
        <x:v>100</x:v>
      </x:c>
      <x:c r="F14" s="6" t="n">
        <x:v>1</x:v>
      </x:c>
      <x:c r="G14" s="6" t="n">
        <x:v>13</x:v>
      </x:c>
      <x:c r="H14" s="10" t="n">
        <x:f>IF(OR(COUNT(G14)=0,COUNT(E14)=0,COUNT(F14)=0),"",G14*F14*1000/E14)</x:f>
        <x:v>130</x:v>
      </x:c>
      <x:c r="I14" s="10" t="n">
        <x:f>IF(OR(COUNT(E14)=0,COUNT(F14)=0),"",1000*F14/E14)</x:f>
        <x:v>10</x:v>
      </x:c>
      <x:c r="J14" s="13" t="str">
        <x:f t="shared" si="0">IF(OR(COUNT(H14)=0,COUNT(I14)=0),"",IF(H14&lt;=I14,"YES","no"))</x:f>
        <x:v>no</x:v>
      </x:c>
      <x:c r="K14" s="10" t="n">
        <x:f t="shared" si="1">IF(OR(COUNT(H14)=0,COUNT(I14)=0),"",LOG10(MAX(H14,I14)))</x:f>
        <x:v>2.11394335230684</x:v>
      </x:c>
    </x:row>
    <x:row r="15">
      <x:c r="A15" s="6" t="s">
        <x:v>93</x:v>
      </x:c>
      <x:c r="B15" s="6">
        <x:v>10</x:v>
      </x:c>
      <x:c r="C15" s="6">
        <x:v>1</x:v>
      </x:c>
      <x:c r="D15" s="6">
        <x:v>2</x:v>
      </x:c>
      <x:c r="E15" s="6">
        <x:v>10</x:v>
      </x:c>
      <x:c r="F15" s="6" t="n">
        <x:v>1</x:v>
      </x:c>
      <x:c r="G15" s="6" t="n">
        <x:v>2</x:v>
      </x:c>
      <x:c r="H15" s="10" t="n">
        <x:f>IF(OR(COUNT(G15)=0,COUNT(E15)=0,COUNT(F15)=0),"",G15*F15*1000/E15)</x:f>
        <x:v>200</x:v>
      </x:c>
      <x:c r="I15" s="10" t="n">
        <x:f>IF(OR(COUNT(E15)=0,COUNT(F15)=0),"",1000*F15/E15)</x:f>
        <x:v>100</x:v>
      </x:c>
      <x:c r="J15" s="13" t="str">
        <x:f t="shared" si="0">IF(OR(COUNT(H15)=0,COUNT(I15)=0),"",IF(H15&lt;=I15,"YES","no"))</x:f>
        <x:v>no</x:v>
      </x:c>
      <x:c r="K15" s="10" t="n">
        <x:f t="shared" si="1">IF(OR(COUNT(H15)=0,COUNT(I15)=0),"",LOG10(MAX(H15,I15)))</x:f>
        <x:v>2.30102999566398</x:v>
      </x:c>
    </x:row>
    <x:row r="16">
      <x:c r="A16" s="6" t="s">
        <x:v>93</x:v>
      </x:c>
      <x:c r="B16" s="6">
        <x:v>10</x:v>
      </x:c>
      <x:c r="C16" s="6">
        <x:v>1</x:v>
      </x:c>
      <x:c r="D16" s="6">
        <x:v>2</x:v>
      </x:c>
      <x:c r="E16" s="6">
        <x:v>10</x:v>
      </x:c>
      <x:c r="F16" s="6" t="n">
        <x:v>1</x:v>
      </x:c>
      <x:c r="G16" s="6" t="n">
        <x:v>0</x:v>
      </x:c>
      <x:c r="H16" s="10" t="n">
        <x:f>IF(OR(COUNT(G16)=0,COUNT(E16)=0,COUNT(F16)=0),"",G16*F16*1000/E16)</x:f>
        <x:v>0</x:v>
      </x:c>
      <x:c r="I16" s="10" t="n">
        <x:f>IF(OR(COUNT(E16)=0,COUNT(F16)=0),"",1000*F16/E16)</x:f>
        <x:v>100</x:v>
      </x:c>
      <x:c r="J16" s="13" t="str">
        <x:f t="shared" si="0">IF(OR(COUNT(H16)=0,COUNT(I16)=0),"",IF(H16&lt;=I16,"YES","no"))</x:f>
        <x:v>YES</x:v>
      </x:c>
      <x:c r="K16" s="10" t="n">
        <x:f t="shared" si="1">IF(OR(COUNT(H16)=0,COUNT(I16)=0),"",LOG10(MAX(H16,I16)))</x:f>
        <x:v>2</x:v>
      </x:c>
    </x:row>
    <x:row r="17">
      <x:c r="A17" s="6" t="s">
        <x:v>93</x:v>
      </x:c>
      <x:c r="B17" s="6">
        <x:v>10</x:v>
      </x:c>
      <x:c r="C17" s="6">
        <x:v>1</x:v>
      </x:c>
      <x:c r="D17" s="6">
        <x:v>4</x:v>
      </x:c>
      <x:c r="E17" s="6">
        <x:v>100</x:v>
      </x:c>
      <x:c r="F17" s="6" t="n">
        <x:v>1</x:v>
      </x:c>
      <x:c r="G17" s="6" t="n">
        <x:v>3</x:v>
      </x:c>
      <x:c r="H17" s="10" t="n">
        <x:f>IF(OR(COUNT(G17)=0,COUNT(E17)=0,COUNT(F17)=0),"",G17*F17*1000/E17)</x:f>
        <x:v>30</x:v>
      </x:c>
      <x:c r="I17" s="10" t="n">
        <x:f>IF(OR(COUNT(E17)=0,COUNT(F17)=0),"",1000*F17/E17)</x:f>
        <x:v>10</x:v>
      </x:c>
      <x:c r="J17" s="13" t="str">
        <x:f t="shared" si="0">IF(OR(COUNT(H17)=0,COUNT(I17)=0),"",IF(H17&lt;=I17,"YES","no"))</x:f>
        <x:v>no</x:v>
      </x:c>
      <x:c r="K17" s="10" t="n">
        <x:f t="shared" si="1">IF(OR(COUNT(H17)=0,COUNT(I17)=0),"",LOG10(MAX(H17,I17)))</x:f>
        <x:v>1.47712125471966</x:v>
      </x:c>
    </x:row>
    <x:row r="18">
      <x:c r="A18" s="6" t="s">
        <x:v>93</x:v>
      </x:c>
      <x:c r="B18" s="6">
        <x:v>10</x:v>
      </x:c>
      <x:c r="C18" s="6">
        <x:v>1</x:v>
      </x:c>
      <x:c r="D18" s="6">
        <x:v>4</x:v>
      </x:c>
      <x:c r="E18" s="6">
        <x:v>100</x:v>
      </x:c>
      <x:c r="F18" s="6" t="n">
        <x:v>1</x:v>
      </x:c>
      <x:c r="G18" s="6" t="n">
        <x:v>0</x:v>
      </x:c>
      <x:c r="H18" s="10" t="n">
        <x:f>IF(OR(COUNT(G18)=0,COUNT(E18)=0,COUNT(F18)=0),"",G18*F18*1000/E18)</x:f>
        <x:v>0</x:v>
      </x:c>
      <x:c r="I18" s="10" t="n">
        <x:f>IF(OR(COUNT(E18)=0,COUNT(F18)=0),"",1000*F18/E18)</x:f>
        <x:v>10</x:v>
      </x:c>
      <x:c r="J18" s="13" t="str">
        <x:f t="shared" si="0">IF(OR(COUNT(H18)=0,COUNT(I18)=0),"",IF(H18&lt;=I18,"YES","no"))</x:f>
        <x:v>YES</x:v>
      </x:c>
      <x:c r="K18" s="10" t="n">
        <x:f t="shared" si="1">IF(OR(COUNT(H18)=0,COUNT(I18)=0),"",LOG10(MAX(H18,I18)))</x:f>
        <x:v>1</x:v>
      </x:c>
    </x:row>
    <x:row r="19">
      <x:c r="A19" s="6" t="s">
        <x:v>93</x:v>
      </x:c>
      <x:c r="B19" s="6">
        <x:v>10</x:v>
      </x:c>
      <x:c r="C19" s="6">
        <x:v>1</x:v>
      </x:c>
      <x:c r="D19" s="6">
        <x:v>4</x:v>
      </x:c>
      <x:c r="E19" s="6">
        <x:v>10</x:v>
      </x:c>
      <x:c r="F19" s="6" t="n">
        <x:v>1</x:v>
      </x:c>
      <x:c r="G19" s="6" t="n">
        <x:v>0</x:v>
      </x:c>
      <x:c r="H19" s="10" t="n">
        <x:f>IF(OR(COUNT(G19)=0,COUNT(E19)=0,COUNT(F19)=0),"",G19*F19*1000/E19)</x:f>
        <x:v>0</x:v>
      </x:c>
      <x:c r="I19" s="10" t="n">
        <x:f>IF(OR(COUNT(E19)=0,COUNT(F19)=0),"",1000*F19/E19)</x:f>
        <x:v>100</x:v>
      </x:c>
      <x:c r="J19" s="13" t="str">
        <x:f t="shared" si="0">IF(OR(COUNT(H19)=0,COUNT(I19)=0),"",IF(H19&lt;=I19,"YES","no"))</x:f>
        <x:v>YES</x:v>
      </x:c>
      <x:c r="K19" s="10" t="n">
        <x:f t="shared" si="1">IF(OR(COUNT(H19)=0,COUNT(I19)=0),"",LOG10(MAX(H19,I19)))</x:f>
        <x:v>2</x:v>
      </x:c>
    </x:row>
    <x:row r="20">
      <x:c r="A20" s="6" t="s">
        <x:v>93</x:v>
      </x:c>
      <x:c r="B20" s="6">
        <x:v>10</x:v>
      </x:c>
      <x:c r="C20" s="6">
        <x:v>1</x:v>
      </x:c>
      <x:c r="D20" s="6">
        <x:v>4</x:v>
      </x:c>
      <x:c r="E20" s="6">
        <x:v>10</x:v>
      </x:c>
      <x:c r="F20" s="6" t="n">
        <x:v>1</x:v>
      </x:c>
      <x:c r="G20" s="6" t="n">
        <x:v>0</x:v>
      </x:c>
      <x:c r="H20" s="10" t="n">
        <x:f>IF(OR(COUNT(G20)=0,COUNT(E20)=0,COUNT(F20)=0),"",G20*F20*1000/E20)</x:f>
        <x:v>0</x:v>
      </x:c>
      <x:c r="I20" s="10" t="n">
        <x:f>IF(OR(COUNT(E20)=0,COUNT(F20)=0),"",1000*F20/E20)</x:f>
        <x:v>100</x:v>
      </x:c>
      <x:c r="J20" s="13" t="str">
        <x:f t="shared" si="0">IF(OR(COUNT(H20)=0,COUNT(I20)=0),"",IF(H20&lt;=I20,"YES","no"))</x:f>
        <x:v>YES</x:v>
      </x:c>
      <x:c r="K20" s="10" t="n">
        <x:f t="shared" si="1">IF(OR(COUNT(H20)=0,COUNT(I20)=0),"",LOG10(MAX(H20,I20)))</x:f>
        <x:v>2</x:v>
      </x:c>
    </x:row>
    <x:row r="21">
      <x:c r="A21" s="6" t="s">
        <x:v>93</x:v>
      </x:c>
      <x:c r="B21" s="6">
        <x:v>10</x:v>
      </x:c>
      <x:c r="C21" s="6">
        <x:v>1</x:v>
      </x:c>
      <x:c r="D21" s="6">
        <x:v>6</x:v>
      </x:c>
      <x:c r="E21" s="6">
        <x:v>100</x:v>
      </x:c>
      <x:c r="F21" s="6" t="n">
        <x:v>1</x:v>
      </x:c>
      <x:c r="G21" s="6" t="n">
        <x:v>0</x:v>
      </x:c>
      <x:c r="H21" s="10" t="n">
        <x:f>IF(OR(COUNT(G21)=0,COUNT(E21)=0,COUNT(F21)=0),"",G21*F21*1000/E21)</x:f>
        <x:v>0</x:v>
      </x:c>
      <x:c r="I21" s="10" t="n">
        <x:f>IF(OR(COUNT(E21)=0,COUNT(F21)=0),"",1000*F21/E21)</x:f>
        <x:v>10</x:v>
      </x:c>
      <x:c r="J21" s="13" t="str">
        <x:f t="shared" si="0">IF(OR(COUNT(H21)=0,COUNT(I21)=0),"",IF(H21&lt;=I21,"YES","no"))</x:f>
        <x:v>YES</x:v>
      </x:c>
      <x:c r="K21" s="10" t="n">
        <x:f t="shared" si="1">IF(OR(COUNT(H21)=0,COUNT(I21)=0),"",LOG10(MAX(H21,I21)))</x:f>
        <x:v>1</x:v>
      </x:c>
    </x:row>
    <x:row r="22">
      <x:c r="A22" s="6" t="s">
        <x:v>93</x:v>
      </x:c>
      <x:c r="B22" s="6">
        <x:v>10</x:v>
      </x:c>
      <x:c r="C22" s="6">
        <x:v>1</x:v>
      </x:c>
      <x:c r="D22" s="6">
        <x:v>6</x:v>
      </x:c>
      <x:c r="E22" s="6">
        <x:v>100</x:v>
      </x:c>
      <x:c r="F22" s="6" t="n">
        <x:v>1</x:v>
      </x:c>
      <x:c r="G22" s="6" t="n">
        <x:v>0</x:v>
      </x:c>
      <x:c r="H22" s="10" t="n">
        <x:f>IF(OR(COUNT(G22)=0,COUNT(E22)=0,COUNT(F22)=0),"",G22*F22*1000/E22)</x:f>
        <x:v>0</x:v>
      </x:c>
      <x:c r="I22" s="10" t="n">
        <x:f>IF(OR(COUNT(E22)=0,COUNT(F22)=0),"",1000*F22/E22)</x:f>
        <x:v>10</x:v>
      </x:c>
      <x:c r="J22" s="13" t="str">
        <x:f t="shared" si="0">IF(OR(COUNT(H22)=0,COUNT(I22)=0),"",IF(H22&lt;=I22,"YES","no"))</x:f>
        <x:v>YES</x:v>
      </x:c>
      <x:c r="K22" s="10" t="n">
        <x:f t="shared" si="1">IF(OR(COUNT(H22)=0,COUNT(I22)=0),"",LOG10(MAX(H22,I22)))</x:f>
        <x:v>1</x:v>
      </x:c>
    </x:row>
    <x:row r="23">
      <x:c r="A23" s="6" t="s">
        <x:v>93</x:v>
      </x:c>
      <x:c r="B23" s="6">
        <x:v>10</x:v>
      </x:c>
      <x:c r="C23" s="6">
        <x:v>1</x:v>
      </x:c>
      <x:c r="D23" s="6">
        <x:v>6</x:v>
      </x:c>
      <x:c r="E23" s="6">
        <x:v>10</x:v>
      </x:c>
      <x:c r="F23" s="6" t="n">
        <x:v>1</x:v>
      </x:c>
      <x:c r="G23" s="6" t="n">
        <x:v>0</x:v>
      </x:c>
      <x:c r="H23" s="10" t="n">
        <x:f>IF(OR(COUNT(G23)=0,COUNT(E23)=0,COUNT(F23)=0),"",G23*F23*1000/E23)</x:f>
        <x:v>0</x:v>
      </x:c>
      <x:c r="I23" s="10" t="n">
        <x:f>IF(OR(COUNT(E23)=0,COUNT(F23)=0),"",1000*F23/E23)</x:f>
        <x:v>100</x:v>
      </x:c>
      <x:c r="J23" s="13" t="str">
        <x:f t="shared" si="0">IF(OR(COUNT(H23)=0,COUNT(I23)=0),"",IF(H23&lt;=I23,"YES","no"))</x:f>
        <x:v>YES</x:v>
      </x:c>
      <x:c r="K23" s="10" t="n">
        <x:f t="shared" si="1">IF(OR(COUNT(H23)=0,COUNT(I23)=0),"",LOG10(MAX(H23,I23)))</x:f>
        <x:v>2</x:v>
      </x:c>
    </x:row>
    <x:row r="24">
      <x:c r="A24" s="6" t="s">
        <x:v>93</x:v>
      </x:c>
      <x:c r="B24" s="6">
        <x:v>10</x:v>
      </x:c>
      <x:c r="C24" s="6">
        <x:v>1</x:v>
      </x:c>
      <x:c r="D24" s="6">
        <x:v>6</x:v>
      </x:c>
      <x:c r="E24" s="6">
        <x:v>10</x:v>
      </x:c>
      <x:c r="F24" s="6" t="n">
        <x:v>1</x:v>
      </x:c>
      <x:c r="G24" s="6" t="n">
        <x:v>0</x:v>
      </x:c>
      <x:c r="H24" s="10" t="n">
        <x:f>IF(OR(COUNT(G24)=0,COUNT(E24)=0,COUNT(F24)=0),"",G24*F24*1000/E24)</x:f>
        <x:v>0</x:v>
      </x:c>
      <x:c r="I24" s="10" t="n">
        <x:f>IF(OR(COUNT(E24)=0,COUNT(F24)=0),"",1000*F24/E24)</x:f>
        <x:v>100</x:v>
      </x:c>
      <x:c r="J24" s="13" t="str">
        <x:f t="shared" si="0">IF(OR(COUNT(H24)=0,COUNT(I24)=0),"",IF(H24&lt;=I24,"YES","no"))</x:f>
        <x:v>YES</x:v>
      </x:c>
      <x:c r="K24" s="10" t="n">
        <x:f t="shared" si="1">IF(OR(COUNT(H24)=0,COUNT(I24)=0),"",LOG10(MAX(H24,I24)))</x:f>
        <x:v>2</x:v>
      </x:c>
    </x:row>
    <x:row r="25">
      <x:c r="A25" s="6" t="s">
        <x:v>93</x:v>
      </x:c>
      <x:c r="B25" s="6">
        <x:v>10</x:v>
      </x:c>
      <x:c r="C25" s="6">
        <x:v>1</x:v>
      </x:c>
      <x:c r="D25" s="6">
        <x:v>24</x:v>
      </x:c>
      <x:c r="E25" s="6">
        <x:v>100</x:v>
      </x:c>
      <x:c r="F25" s="6" t="n">
        <x:v>1</x:v>
      </x:c>
      <x:c r="G25" s="6" t="n">
        <x:v>0</x:v>
      </x:c>
      <x:c r="H25" s="10" t="n">
        <x:f>IF(OR(COUNT(G25)=0,COUNT(E25)=0,COUNT(F25)=0),"",G25*F25*1000/E25)</x:f>
        <x:v>0</x:v>
      </x:c>
      <x:c r="I25" s="10" t="n">
        <x:f>IF(OR(COUNT(E25)=0,COUNT(F25)=0),"",1000*F25/E25)</x:f>
        <x:v>10</x:v>
      </x:c>
      <x:c r="J25" s="13" t="str">
        <x:f t="shared" si="0">IF(OR(COUNT(H25)=0,COUNT(I25)=0),"",IF(H25&lt;=I25,"YES","no"))</x:f>
        <x:v>YES</x:v>
      </x:c>
      <x:c r="K25" s="10" t="n">
        <x:f t="shared" si="1">IF(OR(COUNT(H25)=0,COUNT(I25)=0),"",LOG10(MAX(H25,I25)))</x:f>
        <x:v>1</x:v>
      </x:c>
    </x:row>
    <x:row r="26">
      <x:c r="A26" s="6" t="s">
        <x:v>93</x:v>
      </x:c>
      <x:c r="B26" s="6">
        <x:v>10</x:v>
      </x:c>
      <x:c r="C26" s="6">
        <x:v>1</x:v>
      </x:c>
      <x:c r="D26" s="6">
        <x:v>24</x:v>
      </x:c>
      <x:c r="E26" s="6">
        <x:v>100</x:v>
      </x:c>
      <x:c r="F26" s="6" t="n">
        <x:v>1</x:v>
      </x:c>
      <x:c r="G26" s="6" t="n">
        <x:v>0</x:v>
      </x:c>
      <x:c r="H26" s="10" t="n">
        <x:f>IF(OR(COUNT(G26)=0,COUNT(E26)=0,COUNT(F26)=0),"",G26*F26*1000/E26)</x:f>
        <x:v>0</x:v>
      </x:c>
      <x:c r="I26" s="10" t="n">
        <x:f>IF(OR(COUNT(E26)=0,COUNT(F26)=0),"",1000*F26/E26)</x:f>
        <x:v>10</x:v>
      </x:c>
      <x:c r="J26" s="13" t="str">
        <x:f t="shared" si="0">IF(OR(COUNT(H26)=0,COUNT(I26)=0),"",IF(H26&lt;=I26,"YES","no"))</x:f>
        <x:v>YES</x:v>
      </x:c>
      <x:c r="K26" s="10" t="n">
        <x:f t="shared" si="1">IF(OR(COUNT(H26)=0,COUNT(I26)=0),"",LOG10(MAX(H26,I26)))</x:f>
        <x:v>1</x:v>
      </x:c>
    </x:row>
    <x:row r="27">
      <x:c r="A27" s="6" t="s">
        <x:v>93</x:v>
      </x:c>
      <x:c r="B27" s="6">
        <x:v>10</x:v>
      </x:c>
      <x:c r="C27" s="6">
        <x:v>1</x:v>
      </x:c>
      <x:c r="D27" s="6">
        <x:v>24</x:v>
      </x:c>
      <x:c r="E27" s="6">
        <x:v>10</x:v>
      </x:c>
      <x:c r="F27" s="6" t="n">
        <x:v>1</x:v>
      </x:c>
      <x:c r="G27" s="6" t="n">
        <x:v>0</x:v>
      </x:c>
      <x:c r="H27" s="10" t="n">
        <x:f>IF(OR(COUNT(G27)=0,COUNT(E27)=0,COUNT(F27)=0),"",G27*F27*1000/E27)</x:f>
        <x:v>0</x:v>
      </x:c>
      <x:c r="I27" s="10" t="n">
        <x:f>IF(OR(COUNT(E27)=0,COUNT(F27)=0),"",1000*F27/E27)</x:f>
        <x:v>100</x:v>
      </x:c>
      <x:c r="J27" s="13" t="str">
        <x:f t="shared" si="0">IF(OR(COUNT(H27)=0,COUNT(I27)=0),"",IF(H27&lt;=I27,"YES","no"))</x:f>
        <x:v>YES</x:v>
      </x:c>
      <x:c r="K27" s="10" t="n">
        <x:f t="shared" si="1">IF(OR(COUNT(H27)=0,COUNT(I27)=0),"",LOG10(MAX(H27,I27)))</x:f>
        <x:v>2</x:v>
      </x:c>
    </x:row>
    <x:row r="28">
      <x:c r="A28" s="6" t="s">
        <x:v>93</x:v>
      </x:c>
      <x:c r="B28" s="6">
        <x:v>10</x:v>
      </x:c>
      <x:c r="C28" s="6">
        <x:v>1</x:v>
      </x:c>
      <x:c r="D28" s="6">
        <x:v>24</x:v>
      </x:c>
      <x:c r="E28" s="6">
        <x:v>10</x:v>
      </x:c>
      <x:c r="F28" s="6" t="n">
        <x:v>1</x:v>
      </x:c>
      <x:c r="G28" s="6" t="n">
        <x:v>0</x:v>
      </x:c>
      <x:c r="H28" s="10" t="n">
        <x:f>IF(OR(COUNT(G28)=0,COUNT(E28)=0,COUNT(F28)=0),"",G28*F28*1000/E28)</x:f>
        <x:v>0</x:v>
      </x:c>
      <x:c r="I28" s="10" t="n">
        <x:f>IF(OR(COUNT(E28)=0,COUNT(F28)=0),"",1000*F28/E28)</x:f>
        <x:v>100</x:v>
      </x:c>
      <x:c r="J28" s="13" t="str">
        <x:f t="shared" si="0">IF(OR(COUNT(H28)=0,COUNT(I28)=0),"",IF(H28&lt;=I28,"YES","no"))</x:f>
        <x:v>YES</x:v>
      </x:c>
      <x:c r="K28" s="10" t="n">
        <x:f t="shared" si="1">IF(OR(COUNT(H28)=0,COUNT(I28)=0),"",LOG10(MAX(H28,I28)))</x:f>
        <x:v>2</x:v>
      </x:c>
    </x:row>
    <x:row r="29">
      <x:c r="A29" s="6" t="s">
        <x:v>93</x:v>
      </x:c>
      <x:c r="B29" s="6">
        <x:v>10</x:v>
      </x:c>
      <x:c r="C29" s="6">
        <x:v>2</x:v>
      </x:c>
      <x:c r="D29" s="6">
        <x:v>0</x:v>
      </x:c>
      <x:c r="E29" s="6">
        <x:v>100</x:v>
      </x:c>
      <x:c r="F29" s="6" t="n">
        <x:v>100</x:v>
      </x:c>
      <x:c r="G29" s="6" t="n">
        <x:v>73</x:v>
      </x:c>
      <x:c r="H29" s="10" t="n">
        <x:f>IF(OR(COUNT(G29)=0,COUNT(E29)=0,COUNT(F29)=0),"",G29*F29*1000/E29)</x:f>
        <x:v>73000</x:v>
      </x:c>
      <x:c r="I29" s="10" t="n">
        <x:f>IF(OR(COUNT(E29)=0,COUNT(F29)=0),"",1000*F29/E29)</x:f>
        <x:v>1000</x:v>
      </x:c>
      <x:c r="J29" s="13" t="str">
        <x:f t="shared" si="0">IF(OR(COUNT(H29)=0,COUNT(I29)=0),"",IF(H29&lt;=I29,"YES","no"))</x:f>
        <x:v>no</x:v>
      </x:c>
      <x:c r="K29" s="10" t="n">
        <x:f t="shared" si="1">IF(OR(COUNT(H29)=0,COUNT(I29)=0),"",LOG10(MAX(H29,I29)))</x:f>
        <x:v>4.86332286012046</x:v>
      </x:c>
    </x:row>
    <x:row r="30">
      <x:c r="A30" s="6" t="s">
        <x:v>93</x:v>
      </x:c>
      <x:c r="B30" s="6">
        <x:v>10</x:v>
      </x:c>
      <x:c r="C30" s="6">
        <x:v>2</x:v>
      </x:c>
      <x:c r="D30" s="6">
        <x:v>0</x:v>
      </x:c>
      <x:c r="E30" s="6">
        <x:v>100</x:v>
      </x:c>
      <x:c r="F30" s="6" t="n">
        <x:v>100</x:v>
      </x:c>
      <x:c r="G30" s="6" t="n">
        <x:v>57</x:v>
      </x:c>
      <x:c r="H30" s="10" t="n">
        <x:f>IF(OR(COUNT(G30)=0,COUNT(E30)=0,COUNT(F30)=0),"",G30*F30*1000/E30)</x:f>
        <x:v>57000</x:v>
      </x:c>
      <x:c r="I30" s="10" t="n">
        <x:f>IF(OR(COUNT(E30)=0,COUNT(F30)=0),"",1000*F30/E30)</x:f>
        <x:v>1000</x:v>
      </x:c>
      <x:c r="J30" s="13" t="str">
        <x:f t="shared" si="0">IF(OR(COUNT(H30)=0,COUNT(I30)=0),"",IF(H30&lt;=I30,"YES","no"))</x:f>
        <x:v>no</x:v>
      </x:c>
      <x:c r="K30" s="10" t="n">
        <x:f t="shared" si="1">IF(OR(COUNT(H30)=0,COUNT(I30)=0),"",LOG10(MAX(H30,I30)))</x:f>
        <x:v>4.75587485567249</x:v>
      </x:c>
    </x:row>
    <x:row r="31">
      <x:c r="A31" s="6" t="s">
        <x:v>93</x:v>
      </x:c>
      <x:c r="B31" s="6">
        <x:v>10</x:v>
      </x:c>
      <x:c r="C31" s="6">
        <x:v>2</x:v>
      </x:c>
      <x:c r="D31" s="6">
        <x:v>0</x:v>
      </x:c>
      <x:c r="E31" s="6">
        <x:v>10</x:v>
      </x:c>
      <x:c r="F31" s="6" t="n">
        <x:v>10</x:v>
      </x:c>
      <x:c r="G31" s="6" t="n">
        <x:v>45</x:v>
      </x:c>
      <x:c r="H31" s="10" t="n">
        <x:f>IF(OR(COUNT(G31)=0,COUNT(E31)=0,COUNT(F31)=0),"",G31*F31*1000/E31)</x:f>
        <x:v>45000</x:v>
      </x:c>
      <x:c r="I31" s="10" t="n">
        <x:f>IF(OR(COUNT(E31)=0,COUNT(F31)=0),"",1000*F31/E31)</x:f>
        <x:v>1000</x:v>
      </x:c>
      <x:c r="J31" s="13" t="str">
        <x:f t="shared" si="0">IF(OR(COUNT(H31)=0,COUNT(I31)=0),"",IF(H31&lt;=I31,"YES","no"))</x:f>
        <x:v>no</x:v>
      </x:c>
      <x:c r="K31" s="10" t="n">
        <x:f t="shared" si="1">IF(OR(COUNT(H31)=0,COUNT(I31)=0),"",LOG10(MAX(H31,I31)))</x:f>
        <x:v>4.65321251377534</x:v>
      </x:c>
    </x:row>
    <x:row r="32">
      <x:c r="A32" s="6" t="s">
        <x:v>93</x:v>
      </x:c>
      <x:c r="B32" s="6">
        <x:v>10</x:v>
      </x:c>
      <x:c r="C32" s="6">
        <x:v>2</x:v>
      </x:c>
      <x:c r="D32" s="6">
        <x:v>0</x:v>
      </x:c>
      <x:c r="E32" s="6">
        <x:v>10</x:v>
      </x:c>
      <x:c r="F32" s="6" t="n">
        <x:v>10</x:v>
      </x:c>
      <x:c r="G32" s="6" t="n">
        <x:v>40</x:v>
      </x:c>
      <x:c r="H32" s="10" t="n">
        <x:f>IF(OR(COUNT(G32)=0,COUNT(E32)=0,COUNT(F32)=0),"",G32*F32*1000/E32)</x:f>
        <x:v>40000</x:v>
      </x:c>
      <x:c r="I32" s="10" t="n">
        <x:f>IF(OR(COUNT(E32)=0,COUNT(F32)=0),"",1000*F32/E32)</x:f>
        <x:v>1000</x:v>
      </x:c>
      <x:c r="J32" s="13" t="str">
        <x:f t="shared" si="0">IF(OR(COUNT(H32)=0,COUNT(I32)=0),"",IF(H32&lt;=I32,"YES","no"))</x:f>
        <x:v>no</x:v>
      </x:c>
      <x:c r="K32" s="10" t="n">
        <x:f t="shared" si="1">IF(OR(COUNT(H32)=0,COUNT(I32)=0),"",LOG10(MAX(H32,I32)))</x:f>
        <x:v>4.60205999132796</x:v>
      </x:c>
    </x:row>
    <x:row r="33">
      <x:c r="A33" s="6" t="s">
        <x:v>93</x:v>
      </x:c>
      <x:c r="B33" s="6">
        <x:v>10</x:v>
      </x:c>
      <x:c r="C33" s="6">
        <x:v>2</x:v>
      </x:c>
      <x:c r="D33" s="6">
        <x:v>1</x:v>
      </x:c>
      <x:c r="E33" s="6">
        <x:v>100</x:v>
      </x:c>
      <x:c r="F33" s="6" t="n">
        <x:v>10</x:v>
      </x:c>
      <x:c r="G33" s="6" t="n">
        <x:v>24</x:v>
      </x:c>
      <x:c r="H33" s="10" t="n">
        <x:f>IF(OR(COUNT(G33)=0,COUNT(E33)=0,COUNT(F33)=0),"",G33*F33*1000/E33)</x:f>
        <x:v>2400</x:v>
      </x:c>
      <x:c r="I33" s="10" t="n">
        <x:f>IF(OR(COUNT(E33)=0,COUNT(F33)=0),"",1000*F33/E33)</x:f>
        <x:v>100</x:v>
      </x:c>
      <x:c r="J33" s="13" t="str">
        <x:f t="shared" si="0">IF(OR(COUNT(H33)=0,COUNT(I33)=0),"",IF(H33&lt;=I33,"YES","no"))</x:f>
        <x:v>no</x:v>
      </x:c>
      <x:c r="K33" s="10" t="n">
        <x:f t="shared" si="1">IF(OR(COUNT(H33)=0,COUNT(I33)=0),"",LOG10(MAX(H33,I33)))</x:f>
        <x:v>3.38021124171161</x:v>
      </x:c>
    </x:row>
    <x:row r="34">
      <x:c r="A34" s="6" t="s">
        <x:v>93</x:v>
      </x:c>
      <x:c r="B34" s="6">
        <x:v>10</x:v>
      </x:c>
      <x:c r="C34" s="6">
        <x:v>2</x:v>
      </x:c>
      <x:c r="D34" s="6">
        <x:v>1</x:v>
      </x:c>
      <x:c r="E34" s="6">
        <x:v>100</x:v>
      </x:c>
      <x:c r="F34" s="6" t="n">
        <x:v>10</x:v>
      </x:c>
      <x:c r="G34" s="6" t="n">
        <x:v>35</x:v>
      </x:c>
      <x:c r="H34" s="10" t="n">
        <x:f>IF(OR(COUNT(G34)=0,COUNT(E34)=0,COUNT(F34)=0),"",G34*F34*1000/E34)</x:f>
        <x:v>3500</x:v>
      </x:c>
      <x:c r="I34" s="10" t="n">
        <x:f>IF(OR(COUNT(E34)=0,COUNT(F34)=0),"",1000*F34/E34)</x:f>
        <x:v>100</x:v>
      </x:c>
      <x:c r="J34" s="13" t="str">
        <x:f t="shared" si="0">IF(OR(COUNT(H34)=0,COUNT(I34)=0),"",IF(H34&lt;=I34,"YES","no"))</x:f>
        <x:v>no</x:v>
      </x:c>
      <x:c r="K34" s="10" t="n">
        <x:f t="shared" si="1">IF(OR(COUNT(H34)=0,COUNT(I34)=0),"",LOG10(MAX(H34,I34)))</x:f>
        <x:v>3.54406804435028</x:v>
      </x:c>
    </x:row>
    <x:row r="35">
      <x:c r="A35" s="6" t="s">
        <x:v>93</x:v>
      </x:c>
      <x:c r="B35" s="6">
        <x:v>10</x:v>
      </x:c>
      <x:c r="C35" s="6">
        <x:v>2</x:v>
      </x:c>
      <x:c r="D35" s="6">
        <x:v>1</x:v>
      </x:c>
      <x:c r="E35" s="6">
        <x:v>10</x:v>
      </x:c>
      <x:c r="F35" s="6" t="n">
        <x:v>1</x:v>
      </x:c>
      <x:c r="G35" s="6" t="n">
        <x:v>27</x:v>
      </x:c>
      <x:c r="H35" s="10" t="n">
        <x:f>IF(OR(COUNT(G35)=0,COUNT(E35)=0,COUNT(F35)=0),"",G35*F35*1000/E35)</x:f>
        <x:v>2700</x:v>
      </x:c>
      <x:c r="I35" s="10" t="n">
        <x:f>IF(OR(COUNT(E35)=0,COUNT(F35)=0),"",1000*F35/E35)</x:f>
        <x:v>100</x:v>
      </x:c>
      <x:c r="J35" s="13" t="str">
        <x:f t="shared" si="0">IF(OR(COUNT(H35)=0,COUNT(I35)=0),"",IF(H35&lt;=I35,"YES","no"))</x:f>
        <x:v>no</x:v>
      </x:c>
      <x:c r="K35" s="10" t="n">
        <x:f t="shared" si="1">IF(OR(COUNT(H35)=0,COUNT(I35)=0),"",LOG10(MAX(H35,I35)))</x:f>
        <x:v>3.43136376415899</x:v>
      </x:c>
    </x:row>
    <x:row r="36">
      <x:c r="A36" s="6" t="s">
        <x:v>93</x:v>
      </x:c>
      <x:c r="B36" s="6">
        <x:v>10</x:v>
      </x:c>
      <x:c r="C36" s="6">
        <x:v>2</x:v>
      </x:c>
      <x:c r="D36" s="6">
        <x:v>1</x:v>
      </x:c>
      <x:c r="E36" s="6">
        <x:v>10</x:v>
      </x:c>
      <x:c r="F36" s="6" t="n">
        <x:v>1</x:v>
      </x:c>
      <x:c r="G36" s="6" t="n">
        <x:v>22</x:v>
      </x:c>
      <x:c r="H36" s="10" t="n">
        <x:f>IF(OR(COUNT(G36)=0,COUNT(E36)=0,COUNT(F36)=0),"",G36*F36*1000/E36)</x:f>
        <x:v>2200</x:v>
      </x:c>
      <x:c r="I36" s="10" t="n">
        <x:f>IF(OR(COUNT(E36)=0,COUNT(F36)=0),"",1000*F36/E36)</x:f>
        <x:v>100</x:v>
      </x:c>
      <x:c r="J36" s="13" t="str">
        <x:f t="shared" si="0">IF(OR(COUNT(H36)=0,COUNT(I36)=0),"",IF(H36&lt;=I36,"YES","no"))</x:f>
        <x:v>no</x:v>
      </x:c>
      <x:c r="K36" s="10" t="n">
        <x:f t="shared" si="1">IF(OR(COUNT(H36)=0,COUNT(I36)=0),"",LOG10(MAX(H36,I36)))</x:f>
        <x:v>3.34242268082221</x:v>
      </x:c>
    </x:row>
    <x:row r="37">
      <x:c r="A37" s="6" t="s">
        <x:v>93</x:v>
      </x:c>
      <x:c r="B37" s="6">
        <x:v>10</x:v>
      </x:c>
      <x:c r="C37" s="6">
        <x:v>2</x:v>
      </x:c>
      <x:c r="D37" s="6">
        <x:v>2</x:v>
      </x:c>
      <x:c r="E37" s="6">
        <x:v>100</x:v>
      </x:c>
      <x:c r="F37" s="6" t="n">
        <x:v>1</x:v>
      </x:c>
      <x:c r="G37" s="6" t="n">
        <x:v>14</x:v>
      </x:c>
      <x:c r="H37" s="10" t="n">
        <x:f>IF(OR(COUNT(G37)=0,COUNT(E37)=0,COUNT(F37)=0),"",G37*F37*1000/E37)</x:f>
        <x:v>140</x:v>
      </x:c>
      <x:c r="I37" s="10" t="n">
        <x:f>IF(OR(COUNT(E37)=0,COUNT(F37)=0),"",1000*F37/E37)</x:f>
        <x:v>10</x:v>
      </x:c>
      <x:c r="J37" s="13" t="str">
        <x:f t="shared" si="0">IF(OR(COUNT(H37)=0,COUNT(I37)=0),"",IF(H37&lt;=I37,"YES","no"))</x:f>
        <x:v>no</x:v>
      </x:c>
      <x:c r="K37" s="10" t="n">
        <x:f t="shared" si="1">IF(OR(COUNT(H37)=0,COUNT(I37)=0),"",LOG10(MAX(H37,I37)))</x:f>
        <x:v>2.14612803567824</x:v>
      </x:c>
    </x:row>
    <x:row r="38">
      <x:c r="A38" s="6" t="s">
        <x:v>93</x:v>
      </x:c>
      <x:c r="B38" s="6">
        <x:v>10</x:v>
      </x:c>
      <x:c r="C38" s="6">
        <x:v>2</x:v>
      </x:c>
      <x:c r="D38" s="6">
        <x:v>2</x:v>
      </x:c>
      <x:c r="E38" s="6">
        <x:v>100</x:v>
      </x:c>
      <x:c r="F38" s="6" t="n">
        <x:v>1</x:v>
      </x:c>
      <x:c r="G38" s="6" t="n">
        <x:v>33</x:v>
      </x:c>
      <x:c r="H38" s="10" t="n">
        <x:f>IF(OR(COUNT(G38)=0,COUNT(E38)=0,COUNT(F38)=0),"",G38*F38*1000/E38)</x:f>
        <x:v>330</x:v>
      </x:c>
      <x:c r="I38" s="10" t="n">
        <x:f>IF(OR(COUNT(E38)=0,COUNT(F38)=0),"",1000*F38/E38)</x:f>
        <x:v>10</x:v>
      </x:c>
      <x:c r="J38" s="13" t="str">
        <x:f t="shared" si="0">IF(OR(COUNT(H38)=0,COUNT(I38)=0),"",IF(H38&lt;=I38,"YES","no"))</x:f>
        <x:v>no</x:v>
      </x:c>
      <x:c r="K38" s="10" t="n">
        <x:f t="shared" si="1">IF(OR(COUNT(H38)=0,COUNT(I38)=0),"",LOG10(MAX(H38,I38)))</x:f>
        <x:v>2.51851393987789</x:v>
      </x:c>
    </x:row>
    <x:row r="39">
      <x:c r="A39" s="6" t="s">
        <x:v>93</x:v>
      </x:c>
      <x:c r="B39" s="6">
        <x:v>10</x:v>
      </x:c>
      <x:c r="C39" s="6">
        <x:v>2</x:v>
      </x:c>
      <x:c r="D39" s="6">
        <x:v>2</x:v>
      </x:c>
      <x:c r="E39" s="6">
        <x:v>10</x:v>
      </x:c>
      <x:c r="F39" s="6" t="n">
        <x:v>1</x:v>
      </x:c>
      <x:c r="G39" s="6" t="n">
        <x:v>1</x:v>
      </x:c>
      <x:c r="H39" s="10" t="n">
        <x:f>IF(OR(COUNT(G39)=0,COUNT(E39)=0,COUNT(F39)=0),"",G39*F39*1000/E39)</x:f>
        <x:v>100</x:v>
      </x:c>
      <x:c r="I39" s="10" t="n">
        <x:f>IF(OR(COUNT(E39)=0,COUNT(F39)=0),"",1000*F39/E39)</x:f>
        <x:v>100</x:v>
      </x:c>
      <x:c r="J39" s="13" t="str">
        <x:f t="shared" si="0">IF(OR(COUNT(H39)=0,COUNT(I39)=0),"",IF(H39&lt;=I39,"YES","no"))</x:f>
        <x:v>YES</x:v>
      </x:c>
      <x:c r="K39" s="10" t="n">
        <x:f t="shared" si="1">IF(OR(COUNT(H39)=0,COUNT(I39)=0),"",LOG10(MAX(H39,I39)))</x:f>
        <x:v>2</x:v>
      </x:c>
    </x:row>
    <x:row r="40">
      <x:c r="A40" s="6" t="s">
        <x:v>93</x:v>
      </x:c>
      <x:c r="B40" s="6">
        <x:v>10</x:v>
      </x:c>
      <x:c r="C40" s="6">
        <x:v>2</x:v>
      </x:c>
      <x:c r="D40" s="6">
        <x:v>2</x:v>
      </x:c>
      <x:c r="E40" s="6">
        <x:v>10</x:v>
      </x:c>
      <x:c r="F40" s="6" t="n">
        <x:v>1</x:v>
      </x:c>
      <x:c r="G40" s="6" t="n">
        <x:v>2</x:v>
      </x:c>
      <x:c r="H40" s="10" t="n">
        <x:f>IF(OR(COUNT(G40)=0,COUNT(E40)=0,COUNT(F40)=0),"",G40*F40*1000/E40)</x:f>
        <x:v>200</x:v>
      </x:c>
      <x:c r="I40" s="10" t="n">
        <x:f>IF(OR(COUNT(E40)=0,COUNT(F40)=0),"",1000*F40/E40)</x:f>
        <x:v>100</x:v>
      </x:c>
      <x:c r="J40" s="13" t="str">
        <x:f t="shared" si="0">IF(OR(COUNT(H40)=0,COUNT(I40)=0),"",IF(H40&lt;=I40,"YES","no"))</x:f>
        <x:v>no</x:v>
      </x:c>
      <x:c r="K40" s="10" t="n">
        <x:f t="shared" si="1">IF(OR(COUNT(H40)=0,COUNT(I40)=0),"",LOG10(MAX(H40,I40)))</x:f>
        <x:v>2.30102999566398</x:v>
      </x:c>
    </x:row>
    <x:row r="41">
      <x:c r="A41" s="6" t="s">
        <x:v>93</x:v>
      </x:c>
      <x:c r="B41" s="6">
        <x:v>10</x:v>
      </x:c>
      <x:c r="C41" s="6">
        <x:v>2</x:v>
      </x:c>
      <x:c r="D41" s="6">
        <x:v>4</x:v>
      </x:c>
      <x:c r="E41" s="6">
        <x:v>100</x:v>
      </x:c>
      <x:c r="F41" s="6" t="n">
        <x:v>1</x:v>
      </x:c>
      <x:c r="G41" s="6" t="n">
        <x:v>2</x:v>
      </x:c>
      <x:c r="H41" s="10" t="n">
        <x:f>IF(OR(COUNT(G41)=0,COUNT(E41)=0,COUNT(F41)=0),"",G41*F41*1000/E41)</x:f>
        <x:v>20</x:v>
      </x:c>
      <x:c r="I41" s="10" t="n">
        <x:f>IF(OR(COUNT(E41)=0,COUNT(F41)=0),"",1000*F41/E41)</x:f>
        <x:v>10</x:v>
      </x:c>
      <x:c r="J41" s="13" t="str">
        <x:f t="shared" si="0">IF(OR(COUNT(H41)=0,COUNT(I41)=0),"",IF(H41&lt;=I41,"YES","no"))</x:f>
        <x:v>no</x:v>
      </x:c>
      <x:c r="K41" s="10" t="n">
        <x:f t="shared" si="1">IF(OR(COUNT(H41)=0,COUNT(I41)=0),"",LOG10(MAX(H41,I41)))</x:f>
        <x:v>1.30102999566398</x:v>
      </x:c>
    </x:row>
    <x:row r="42">
      <x:c r="A42" s="6" t="s">
        <x:v>93</x:v>
      </x:c>
      <x:c r="B42" s="6">
        <x:v>10</x:v>
      </x:c>
      <x:c r="C42" s="6">
        <x:v>2</x:v>
      </x:c>
      <x:c r="D42" s="6">
        <x:v>4</x:v>
      </x:c>
      <x:c r="E42" s="6">
        <x:v>100</x:v>
      </x:c>
      <x:c r="F42" s="6" t="n">
        <x:v>1</x:v>
      </x:c>
      <x:c r="G42" s="6" t="n">
        <x:v>5</x:v>
      </x:c>
      <x:c r="H42" s="10" t="n">
        <x:f>IF(OR(COUNT(G42)=0,COUNT(E42)=0,COUNT(F42)=0),"",G42*F42*1000/E42)</x:f>
        <x:v>50</x:v>
      </x:c>
      <x:c r="I42" s="10" t="n">
        <x:f>IF(OR(COUNT(E42)=0,COUNT(F42)=0),"",1000*F42/E42)</x:f>
        <x:v>10</x:v>
      </x:c>
      <x:c r="J42" s="13" t="str">
        <x:f t="shared" si="0">IF(OR(COUNT(H42)=0,COUNT(I42)=0),"",IF(H42&lt;=I42,"YES","no"))</x:f>
        <x:v>no</x:v>
      </x:c>
      <x:c r="K42" s="10" t="n">
        <x:f t="shared" si="1">IF(OR(COUNT(H42)=0,COUNT(I42)=0),"",LOG10(MAX(H42,I42)))</x:f>
        <x:v>1.69897000433602</x:v>
      </x:c>
    </x:row>
    <x:row r="43">
      <x:c r="A43" s="6" t="s">
        <x:v>93</x:v>
      </x:c>
      <x:c r="B43" s="6">
        <x:v>10</x:v>
      </x:c>
      <x:c r="C43" s="6">
        <x:v>2</x:v>
      </x:c>
      <x:c r="D43" s="6">
        <x:v>4</x:v>
      </x:c>
      <x:c r="E43" s="6">
        <x:v>10</x:v>
      </x:c>
      <x:c r="F43" s="6" t="n">
        <x:v>1</x:v>
      </x:c>
      <x:c r="G43" s="6" t="n">
        <x:v>3</x:v>
      </x:c>
      <x:c r="H43" s="10" t="n">
        <x:f>IF(OR(COUNT(G43)=0,COUNT(E43)=0,COUNT(F43)=0),"",G43*F43*1000/E43)</x:f>
        <x:v>300</x:v>
      </x:c>
      <x:c r="I43" s="10" t="n">
        <x:f>IF(OR(COUNT(E43)=0,COUNT(F43)=0),"",1000*F43/E43)</x:f>
        <x:v>100</x:v>
      </x:c>
      <x:c r="J43" s="13" t="str">
        <x:f t="shared" si="0">IF(OR(COUNT(H43)=0,COUNT(I43)=0),"",IF(H43&lt;=I43,"YES","no"))</x:f>
        <x:v>no</x:v>
      </x:c>
      <x:c r="K43" s="10" t="n">
        <x:f t="shared" si="1">IF(OR(COUNT(H43)=0,COUNT(I43)=0),"",LOG10(MAX(H43,I43)))</x:f>
        <x:v>2.47712125471966</x:v>
      </x:c>
    </x:row>
    <x:row r="44">
      <x:c r="A44" s="6" t="s">
        <x:v>93</x:v>
      </x:c>
      <x:c r="B44" s="6">
        <x:v>10</x:v>
      </x:c>
      <x:c r="C44" s="6">
        <x:v>2</x:v>
      </x:c>
      <x:c r="D44" s="6">
        <x:v>4</x:v>
      </x:c>
      <x:c r="E44" s="6">
        <x:v>10</x:v>
      </x:c>
      <x:c r="F44" s="6" t="n">
        <x:v>1</x:v>
      </x:c>
      <x:c r="G44" s="6" t="n">
        <x:v>0</x:v>
      </x:c>
      <x:c r="H44" s="10" t="n">
        <x:f>IF(OR(COUNT(G44)=0,COUNT(E44)=0,COUNT(F44)=0),"",G44*F44*1000/E44)</x:f>
        <x:v>0</x:v>
      </x:c>
      <x:c r="I44" s="10" t="n">
        <x:f>IF(OR(COUNT(E44)=0,COUNT(F44)=0),"",1000*F44/E44)</x:f>
        <x:v>100</x:v>
      </x:c>
      <x:c r="J44" s="13" t="str">
        <x:f t="shared" si="0">IF(OR(COUNT(H44)=0,COUNT(I44)=0),"",IF(H44&lt;=I44,"YES","no"))</x:f>
        <x:v>YES</x:v>
      </x:c>
      <x:c r="K44" s="10" t="n">
        <x:f t="shared" si="1">IF(OR(COUNT(H44)=0,COUNT(I44)=0),"",LOG10(MAX(H44,I44)))</x:f>
        <x:v>2</x:v>
      </x:c>
    </x:row>
    <x:row r="45">
      <x:c r="A45" s="6" t="s">
        <x:v>93</x:v>
      </x:c>
      <x:c r="B45" s="6">
        <x:v>10</x:v>
      </x:c>
      <x:c r="C45" s="6">
        <x:v>2</x:v>
      </x:c>
      <x:c r="D45" s="6">
        <x:v>6</x:v>
      </x:c>
      <x:c r="E45" s="6">
        <x:v>100</x:v>
      </x:c>
      <x:c r="F45" s="6" t="n">
        <x:v>1</x:v>
      </x:c>
      <x:c r="G45" s="6" t="n">
        <x:v>0</x:v>
      </x:c>
      <x:c r="H45" s="10" t="n">
        <x:f>IF(OR(COUNT(G45)=0,COUNT(E45)=0,COUNT(F45)=0),"",G45*F45*1000/E45)</x:f>
        <x:v>0</x:v>
      </x:c>
      <x:c r="I45" s="10" t="n">
        <x:f>IF(OR(COUNT(E45)=0,COUNT(F45)=0),"",1000*F45/E45)</x:f>
        <x:v>10</x:v>
      </x:c>
      <x:c r="J45" s="13" t="str">
        <x:f t="shared" si="0">IF(OR(COUNT(H45)=0,COUNT(I45)=0),"",IF(H45&lt;=I45,"YES","no"))</x:f>
        <x:v>YES</x:v>
      </x:c>
      <x:c r="K45" s="10" t="n">
        <x:f t="shared" si="1">IF(OR(COUNT(H45)=0,COUNT(I45)=0),"",LOG10(MAX(H45,I45)))</x:f>
        <x:v>1</x:v>
      </x:c>
    </x:row>
    <x:row r="46">
      <x:c r="A46" s="6" t="s">
        <x:v>93</x:v>
      </x:c>
      <x:c r="B46" s="6">
        <x:v>10</x:v>
      </x:c>
      <x:c r="C46" s="6">
        <x:v>2</x:v>
      </x:c>
      <x:c r="D46" s="6">
        <x:v>6</x:v>
      </x:c>
      <x:c r="E46" s="6">
        <x:v>100</x:v>
      </x:c>
      <x:c r="F46" s="6" t="n">
        <x:v>1</x:v>
      </x:c>
      <x:c r="G46" s="6" t="n">
        <x:v>2</x:v>
      </x:c>
      <x:c r="H46" s="10" t="n">
        <x:f>IF(OR(COUNT(G46)=0,COUNT(E46)=0,COUNT(F46)=0),"",G46*F46*1000/E46)</x:f>
        <x:v>20</x:v>
      </x:c>
      <x:c r="I46" s="10" t="n">
        <x:f>IF(OR(COUNT(E46)=0,COUNT(F46)=0),"",1000*F46/E46)</x:f>
        <x:v>10</x:v>
      </x:c>
      <x:c r="J46" s="13" t="str">
        <x:f t="shared" si="0">IF(OR(COUNT(H46)=0,COUNT(I46)=0),"",IF(H46&lt;=I46,"YES","no"))</x:f>
        <x:v>no</x:v>
      </x:c>
      <x:c r="K46" s="10" t="n">
        <x:f t="shared" si="1">IF(OR(COUNT(H46)=0,COUNT(I46)=0),"",LOG10(MAX(H46,I46)))</x:f>
        <x:v>1.30102999566398</x:v>
      </x:c>
    </x:row>
    <x:row r="47">
      <x:c r="A47" s="6" t="s">
        <x:v>93</x:v>
      </x:c>
      <x:c r="B47" s="6">
        <x:v>10</x:v>
      </x:c>
      <x:c r="C47" s="6">
        <x:v>2</x:v>
      </x:c>
      <x:c r="D47" s="6">
        <x:v>6</x:v>
      </x:c>
      <x:c r="E47" s="6">
        <x:v>10</x:v>
      </x:c>
      <x:c r="F47" s="6" t="n">
        <x:v>1</x:v>
      </x:c>
      <x:c r="G47" s="6" t="n">
        <x:v>0</x:v>
      </x:c>
      <x:c r="H47" s="10" t="n">
        <x:f>IF(OR(COUNT(G47)=0,COUNT(E47)=0,COUNT(F47)=0),"",G47*F47*1000/E47)</x:f>
        <x:v>0</x:v>
      </x:c>
      <x:c r="I47" s="10" t="n">
        <x:f>IF(OR(COUNT(E47)=0,COUNT(F47)=0),"",1000*F47/E47)</x:f>
        <x:v>100</x:v>
      </x:c>
      <x:c r="J47" s="13" t="str">
        <x:f t="shared" si="0">IF(OR(COUNT(H47)=0,COUNT(I47)=0),"",IF(H47&lt;=I47,"YES","no"))</x:f>
        <x:v>YES</x:v>
      </x:c>
      <x:c r="K47" s="10" t="n">
        <x:f t="shared" si="1">IF(OR(COUNT(H47)=0,COUNT(I47)=0),"",LOG10(MAX(H47,I47)))</x:f>
        <x:v>2</x:v>
      </x:c>
    </x:row>
    <x:row r="48">
      <x:c r="A48" s="6" t="s">
        <x:v>93</x:v>
      </x:c>
      <x:c r="B48" s="6">
        <x:v>10</x:v>
      </x:c>
      <x:c r="C48" s="6">
        <x:v>2</x:v>
      </x:c>
      <x:c r="D48" s="6">
        <x:v>6</x:v>
      </x:c>
      <x:c r="E48" s="6">
        <x:v>10</x:v>
      </x:c>
      <x:c r="F48" s="6" t="n">
        <x:v>1</x:v>
      </x:c>
      <x:c r="G48" s="6" t="n">
        <x:v>0</x:v>
      </x:c>
      <x:c r="H48" s="10" t="n">
        <x:f>IF(OR(COUNT(G48)=0,COUNT(E48)=0,COUNT(F48)=0),"",G48*F48*1000/E48)</x:f>
        <x:v>0</x:v>
      </x:c>
      <x:c r="I48" s="10" t="n">
        <x:f>IF(OR(COUNT(E48)=0,COUNT(F48)=0),"",1000*F48/E48)</x:f>
        <x:v>100</x:v>
      </x:c>
      <x:c r="J48" s="13" t="str">
        <x:f t="shared" si="0">IF(OR(COUNT(H48)=0,COUNT(I48)=0),"",IF(H48&lt;=I48,"YES","no"))</x:f>
        <x:v>YES</x:v>
      </x:c>
      <x:c r="K48" s="10" t="n">
        <x:f t="shared" si="1">IF(OR(COUNT(H48)=0,COUNT(I48)=0),"",LOG10(MAX(H48,I48)))</x:f>
        <x:v>2</x:v>
      </x:c>
    </x:row>
    <x:row r="49">
      <x:c r="A49" s="6" t="s">
        <x:v>93</x:v>
      </x:c>
      <x:c r="B49" s="6">
        <x:v>10</x:v>
      </x:c>
      <x:c r="C49" s="6">
        <x:v>2</x:v>
      </x:c>
      <x:c r="D49" s="6">
        <x:v>24</x:v>
      </x:c>
      <x:c r="E49" s="6">
        <x:v>100</x:v>
      </x:c>
      <x:c r="F49" s="6" t="n">
        <x:v>1</x:v>
      </x:c>
      <x:c r="G49" s="6" t="n">
        <x:v>0</x:v>
      </x:c>
      <x:c r="H49" s="10" t="n">
        <x:f>IF(OR(COUNT(G49)=0,COUNT(E49)=0,COUNT(F49)=0),"",G49*F49*1000/E49)</x:f>
        <x:v>0</x:v>
      </x:c>
      <x:c r="I49" s="10" t="n">
        <x:f>IF(OR(COUNT(E49)=0,COUNT(F49)=0),"",1000*F49/E49)</x:f>
        <x:v>10</x:v>
      </x:c>
      <x:c r="J49" s="13" t="str">
        <x:f t="shared" si="0">IF(OR(COUNT(H49)=0,COUNT(I49)=0),"",IF(H49&lt;=I49,"YES","no"))</x:f>
        <x:v>YES</x:v>
      </x:c>
      <x:c r="K49" s="10" t="n">
        <x:f t="shared" si="1">IF(OR(COUNT(H49)=0,COUNT(I49)=0),"",LOG10(MAX(H49,I49)))</x:f>
        <x:v>1</x:v>
      </x:c>
    </x:row>
    <x:row r="50">
      <x:c r="A50" s="6" t="s">
        <x:v>93</x:v>
      </x:c>
      <x:c r="B50" s="6">
        <x:v>10</x:v>
      </x:c>
      <x:c r="C50" s="6">
        <x:v>2</x:v>
      </x:c>
      <x:c r="D50" s="6">
        <x:v>24</x:v>
      </x:c>
      <x:c r="E50" s="6">
        <x:v>100</x:v>
      </x:c>
      <x:c r="F50" s="6" t="n">
        <x:v>1</x:v>
      </x:c>
      <x:c r="G50" s="6" t="n">
        <x:v>0</x:v>
      </x:c>
      <x:c r="H50" s="10" t="n">
        <x:f>IF(OR(COUNT(G50)=0,COUNT(E50)=0,COUNT(F50)=0),"",G50*F50*1000/E50)</x:f>
        <x:v>0</x:v>
      </x:c>
      <x:c r="I50" s="10" t="n">
        <x:f>IF(OR(COUNT(E50)=0,COUNT(F50)=0),"",1000*F50/E50)</x:f>
        <x:v>10</x:v>
      </x:c>
      <x:c r="J50" s="13" t="str">
        <x:f t="shared" si="0">IF(OR(COUNT(H50)=0,COUNT(I50)=0),"",IF(H50&lt;=I50,"YES","no"))</x:f>
        <x:v>YES</x:v>
      </x:c>
      <x:c r="K50" s="10" t="n">
        <x:f t="shared" si="1">IF(OR(COUNT(H50)=0,COUNT(I50)=0),"",LOG10(MAX(H50,I50)))</x:f>
        <x:v>1</x:v>
      </x:c>
    </x:row>
    <x:row r="51">
      <x:c r="A51" s="6" t="s">
        <x:v>93</x:v>
      </x:c>
      <x:c r="B51" s="6">
        <x:v>10</x:v>
      </x:c>
      <x:c r="C51" s="6">
        <x:v>2</x:v>
      </x:c>
      <x:c r="D51" s="6">
        <x:v>24</x:v>
      </x:c>
      <x:c r="E51" s="6">
        <x:v>10</x:v>
      </x:c>
      <x:c r="F51" s="6" t="n">
        <x:v>1</x:v>
      </x:c>
      <x:c r="G51" s="6" t="n">
        <x:v>0</x:v>
      </x:c>
      <x:c r="H51" s="10" t="n">
        <x:f>IF(OR(COUNT(G51)=0,COUNT(E51)=0,COUNT(F51)=0),"",G51*F51*1000/E51)</x:f>
        <x:v>0</x:v>
      </x:c>
      <x:c r="I51" s="10" t="n">
        <x:f>IF(OR(COUNT(E51)=0,COUNT(F51)=0),"",1000*F51/E51)</x:f>
        <x:v>100</x:v>
      </x:c>
      <x:c r="J51" s="13" t="str">
        <x:f t="shared" si="0">IF(OR(COUNT(H51)=0,COUNT(I51)=0),"",IF(H51&lt;=I51,"YES","no"))</x:f>
        <x:v>YES</x:v>
      </x:c>
      <x:c r="K51" s="10" t="n">
        <x:f t="shared" si="1">IF(OR(COUNT(H51)=0,COUNT(I51)=0),"",LOG10(MAX(H51,I51)))</x:f>
        <x:v>2</x:v>
      </x:c>
    </x:row>
    <x:row r="52">
      <x:c r="A52" s="6" t="s">
        <x:v>93</x:v>
      </x:c>
      <x:c r="B52" s="6">
        <x:v>10</x:v>
      </x:c>
      <x:c r="C52" s="6">
        <x:v>2</x:v>
      </x:c>
      <x:c r="D52" s="6">
        <x:v>24</x:v>
      </x:c>
      <x:c r="E52" s="6">
        <x:v>10</x:v>
      </x:c>
      <x:c r="F52" s="6" t="n">
        <x:v>1</x:v>
      </x:c>
      <x:c r="G52" s="6" t="n">
        <x:v>0</x:v>
      </x:c>
      <x:c r="H52" s="10" t="n">
        <x:f>IF(OR(COUNT(G52)=0,COUNT(E52)=0,COUNT(F52)=0),"",G52*F52*1000/E52)</x:f>
        <x:v>0</x:v>
      </x:c>
      <x:c r="I52" s="10" t="n">
        <x:f>IF(OR(COUNT(E52)=0,COUNT(F52)=0),"",1000*F52/E52)</x:f>
        <x:v>100</x:v>
      </x:c>
      <x:c r="J52" s="13" t="str">
        <x:f t="shared" si="0">IF(OR(COUNT(H52)=0,COUNT(I52)=0),"",IF(H52&lt;=I52,"YES","no"))</x:f>
        <x:v>YES</x:v>
      </x:c>
      <x:c r="K52" s="10" t="n">
        <x:f t="shared" si="1">IF(OR(COUNT(H52)=0,COUNT(I52)=0),"",LOG10(MAX(H52,I52)))</x:f>
        <x:v>2</x:v>
      </x:c>
    </x:row>
    <x:row r="53">
      <x:c r="A53" s="6" t="s">
        <x:v>93</x:v>
      </x:c>
      <x:c r="B53" s="6">
        <x:v>10</x:v>
      </x:c>
      <x:c r="C53" s="6">
        <x:v>3</x:v>
      </x:c>
      <x:c r="D53" s="6">
        <x:v>0</x:v>
      </x:c>
      <x:c r="E53" s="6">
        <x:v>100</x:v>
      </x:c>
      <x:c r="F53" s="6" t="n">
        <x:v>100</x:v>
      </x:c>
      <x:c r="G53" s="6" t="n">
        <x:v>48</x:v>
      </x:c>
      <x:c r="H53" s="10" t="n">
        <x:f>IF(OR(COUNT(G53)=0,COUNT(E53)=0,COUNT(F53)=0),"",G53*F53*1000/E53)</x:f>
        <x:v>48000</x:v>
      </x:c>
      <x:c r="I53" s="10" t="n">
        <x:f>IF(OR(COUNT(E53)=0,COUNT(F53)=0),"",1000*F53/E53)</x:f>
        <x:v>1000</x:v>
      </x:c>
      <x:c r="J53" s="13" t="str">
        <x:f t="shared" si="0">IF(OR(COUNT(H53)=0,COUNT(I53)=0),"",IF(H53&lt;=I53,"YES","no"))</x:f>
        <x:v>no</x:v>
      </x:c>
      <x:c r="K53" s="10" t="n">
        <x:f t="shared" si="1">IF(OR(COUNT(H53)=0,COUNT(I53)=0),"",LOG10(MAX(H53,I53)))</x:f>
        <x:v>4.68124123737559</x:v>
      </x:c>
    </x:row>
    <x:row r="54">
      <x:c r="A54" s="6" t="s">
        <x:v>93</x:v>
      </x:c>
      <x:c r="B54" s="6">
        <x:v>10</x:v>
      </x:c>
      <x:c r="C54" s="6">
        <x:v>3</x:v>
      </x:c>
      <x:c r="D54" s="6">
        <x:v>0</x:v>
      </x:c>
      <x:c r="E54" s="6">
        <x:v>100</x:v>
      </x:c>
      <x:c r="F54" s="6" t="n">
        <x:v>100</x:v>
      </x:c>
      <x:c r="G54" s="6" t="n">
        <x:v>52</x:v>
      </x:c>
      <x:c r="H54" s="10" t="n">
        <x:f>IF(OR(COUNT(G54)=0,COUNT(E54)=0,COUNT(F54)=0),"",G54*F54*1000/E54)</x:f>
        <x:v>52000</x:v>
      </x:c>
      <x:c r="I54" s="10" t="n">
        <x:f>IF(OR(COUNT(E54)=0,COUNT(F54)=0),"",1000*F54/E54)</x:f>
        <x:v>1000</x:v>
      </x:c>
      <x:c r="J54" s="13" t="str">
        <x:f t="shared" si="0">IF(OR(COUNT(H54)=0,COUNT(I54)=0),"",IF(H54&lt;=I54,"YES","no"))</x:f>
        <x:v>no</x:v>
      </x:c>
      <x:c r="K54" s="10" t="n">
        <x:f t="shared" si="1">IF(OR(COUNT(H54)=0,COUNT(I54)=0),"",LOG10(MAX(H54,I54)))</x:f>
        <x:v>4.7160033436348</x:v>
      </x:c>
    </x:row>
    <x:row r="55">
      <x:c r="A55" s="6" t="s">
        <x:v>93</x:v>
      </x:c>
      <x:c r="B55" s="6">
        <x:v>10</x:v>
      </x:c>
      <x:c r="C55" s="6">
        <x:v>3</x:v>
      </x:c>
      <x:c r="D55" s="6">
        <x:v>0</x:v>
      </x:c>
      <x:c r="E55" s="6">
        <x:v>10</x:v>
      </x:c>
      <x:c r="F55" s="6" t="n">
        <x:v>10</x:v>
      </x:c>
      <x:c r="G55" s="6" t="n">
        <x:v>53</x:v>
      </x:c>
      <x:c r="H55" s="10" t="n">
        <x:f>IF(OR(COUNT(G55)=0,COUNT(E55)=0,COUNT(F55)=0),"",G55*F55*1000/E55)</x:f>
        <x:v>53000</x:v>
      </x:c>
      <x:c r="I55" s="10" t="n">
        <x:f>IF(OR(COUNT(E55)=0,COUNT(F55)=0),"",1000*F55/E55)</x:f>
        <x:v>1000</x:v>
      </x:c>
      <x:c r="J55" s="13" t="str">
        <x:f t="shared" si="0">IF(OR(COUNT(H55)=0,COUNT(I55)=0),"",IF(H55&lt;=I55,"YES","no"))</x:f>
        <x:v>no</x:v>
      </x:c>
      <x:c r="K55" s="10" t="n">
        <x:f t="shared" si="1">IF(OR(COUNT(H55)=0,COUNT(I55)=0),"",LOG10(MAX(H55,I55)))</x:f>
        <x:v>4.72427586960079</x:v>
      </x:c>
    </x:row>
    <x:row r="56">
      <x:c r="A56" s="6" t="s">
        <x:v>93</x:v>
      </x:c>
      <x:c r="B56" s="6">
        <x:v>10</x:v>
      </x:c>
      <x:c r="C56" s="6">
        <x:v>3</x:v>
      </x:c>
      <x:c r="D56" s="6">
        <x:v>0</x:v>
      </x:c>
      <x:c r="E56" s="6">
        <x:v>10</x:v>
      </x:c>
      <x:c r="F56" s="6" t="n">
        <x:v>10</x:v>
      </x:c>
      <x:c r="G56" s="6" t="n">
        <x:v>38</x:v>
      </x:c>
      <x:c r="H56" s="10" t="n">
        <x:f>IF(OR(COUNT(G56)=0,COUNT(E56)=0,COUNT(F56)=0),"",G56*F56*1000/E56)</x:f>
        <x:v>38000</x:v>
      </x:c>
      <x:c r="I56" s="10" t="n">
        <x:f>IF(OR(COUNT(E56)=0,COUNT(F56)=0),"",1000*F56/E56)</x:f>
        <x:v>1000</x:v>
      </x:c>
      <x:c r="J56" s="13" t="str">
        <x:f t="shared" si="0">IF(OR(COUNT(H56)=0,COUNT(I56)=0),"",IF(H56&lt;=I56,"YES","no"))</x:f>
        <x:v>no</x:v>
      </x:c>
      <x:c r="K56" s="10" t="n">
        <x:f t="shared" si="1">IF(OR(COUNT(H56)=0,COUNT(I56)=0),"",LOG10(MAX(H56,I56)))</x:f>
        <x:v>4.57978359661681</x:v>
      </x:c>
    </x:row>
    <x:row r="57">
      <x:c r="A57" s="6" t="s">
        <x:v>93</x:v>
      </x:c>
      <x:c r="B57" s="6">
        <x:v>10</x:v>
      </x:c>
      <x:c r="C57" s="6">
        <x:v>3</x:v>
      </x:c>
      <x:c r="D57" s="6">
        <x:v>1</x:v>
      </x:c>
      <x:c r="E57" s="6">
        <x:v>100</x:v>
      </x:c>
      <x:c r="F57" s="6" t="n">
        <x:v>1</x:v>
      </x:c>
      <x:c r="G57" s="6" t="n">
        <x:v>14</x:v>
      </x:c>
      <x:c r="H57" s="10" t="n">
        <x:f>IF(OR(COUNT(G57)=0,COUNT(E57)=0,COUNT(F57)=0),"",G57*F57*1000/E57)</x:f>
        <x:v>140</x:v>
      </x:c>
      <x:c r="I57" s="10" t="n">
        <x:f>IF(OR(COUNT(E57)=0,COUNT(F57)=0),"",1000*F57/E57)</x:f>
        <x:v>10</x:v>
      </x:c>
      <x:c r="J57" s="13" t="str">
        <x:f t="shared" si="0">IF(OR(COUNT(H57)=0,COUNT(I57)=0),"",IF(H57&lt;=I57,"YES","no"))</x:f>
        <x:v>no</x:v>
      </x:c>
      <x:c r="K57" s="10" t="n">
        <x:f t="shared" si="1">IF(OR(COUNT(H57)=0,COUNT(I57)=0),"",LOG10(MAX(H57,I57)))</x:f>
        <x:v>2.14612803567824</x:v>
      </x:c>
    </x:row>
    <x:row r="58">
      <x:c r="A58" s="6" t="s">
        <x:v>93</x:v>
      </x:c>
      <x:c r="B58" s="6">
        <x:v>10</x:v>
      </x:c>
      <x:c r="C58" s="6">
        <x:v>3</x:v>
      </x:c>
      <x:c r="D58" s="6">
        <x:v>1</x:v>
      </x:c>
      <x:c r="E58" s="6">
        <x:v>100</x:v>
      </x:c>
      <x:c r="F58" s="6" t="n">
        <x:v>1</x:v>
      </x:c>
      <x:c r="G58" s="6" t="n">
        <x:v>19</x:v>
      </x:c>
      <x:c r="H58" s="10" t="n">
        <x:f>IF(OR(COUNT(G58)=0,COUNT(E58)=0,COUNT(F58)=0),"",G58*F58*1000/E58)</x:f>
        <x:v>190</x:v>
      </x:c>
      <x:c r="I58" s="10" t="n">
        <x:f>IF(OR(COUNT(E58)=0,COUNT(F58)=0),"",1000*F58/E58)</x:f>
        <x:v>10</x:v>
      </x:c>
      <x:c r="J58" s="13" t="str">
        <x:f t="shared" si="0">IF(OR(COUNT(H58)=0,COUNT(I58)=0),"",IF(H58&lt;=I58,"YES","no"))</x:f>
        <x:v>no</x:v>
      </x:c>
      <x:c r="K58" s="10" t="n">
        <x:f t="shared" si="1">IF(OR(COUNT(H58)=0,COUNT(I58)=0),"",LOG10(MAX(H58,I58)))</x:f>
        <x:v>2.27875360095283</x:v>
      </x:c>
    </x:row>
    <x:row r="59">
      <x:c r="A59" s="6" t="s">
        <x:v>93</x:v>
      </x:c>
      <x:c r="B59" s="6">
        <x:v>10</x:v>
      </x:c>
      <x:c r="C59" s="6">
        <x:v>3</x:v>
      </x:c>
      <x:c r="D59" s="6">
        <x:v>1</x:v>
      </x:c>
      <x:c r="E59" s="6">
        <x:v>10</x:v>
      </x:c>
      <x:c r="F59" s="6" t="n">
        <x:v>1</x:v>
      </x:c>
      <x:c r="G59" s="6" t="n">
        <x:v>3</x:v>
      </x:c>
      <x:c r="H59" s="10" t="n">
        <x:f>IF(OR(COUNT(G59)=0,COUNT(E59)=0,COUNT(F59)=0),"",G59*F59*1000/E59)</x:f>
        <x:v>300</x:v>
      </x:c>
      <x:c r="I59" s="10" t="n">
        <x:f>IF(OR(COUNT(E59)=0,COUNT(F59)=0),"",1000*F59/E59)</x:f>
        <x:v>100</x:v>
      </x:c>
      <x:c r="J59" s="13" t="str">
        <x:f t="shared" si="0">IF(OR(COUNT(H59)=0,COUNT(I59)=0),"",IF(H59&lt;=I59,"YES","no"))</x:f>
        <x:v>no</x:v>
      </x:c>
      <x:c r="K59" s="10" t="n">
        <x:f t="shared" si="1">IF(OR(COUNT(H59)=0,COUNT(I59)=0),"",LOG10(MAX(H59,I59)))</x:f>
        <x:v>2.47712125471966</x:v>
      </x:c>
    </x:row>
    <x:row r="60">
      <x:c r="A60" s="6" t="s">
        <x:v>93</x:v>
      </x:c>
      <x:c r="B60" s="6">
        <x:v>10</x:v>
      </x:c>
      <x:c r="C60" s="6">
        <x:v>3</x:v>
      </x:c>
      <x:c r="D60" s="6">
        <x:v>1</x:v>
      </x:c>
      <x:c r="E60" s="6">
        <x:v>10</x:v>
      </x:c>
      <x:c r="F60" s="6" t="n">
        <x:v>1</x:v>
      </x:c>
      <x:c r="G60" s="6" t="n">
        <x:v>3</x:v>
      </x:c>
      <x:c r="H60" s="10" t="n">
        <x:f>IF(OR(COUNT(G60)=0,COUNT(E60)=0,COUNT(F60)=0),"",G60*F60*1000/E60)</x:f>
        <x:v>300</x:v>
      </x:c>
      <x:c r="I60" s="10" t="n">
        <x:f>IF(OR(COUNT(E60)=0,COUNT(F60)=0),"",1000*F60/E60)</x:f>
        <x:v>100</x:v>
      </x:c>
      <x:c r="J60" s="13" t="str">
        <x:f t="shared" si="0">IF(OR(COUNT(H60)=0,COUNT(I60)=0),"",IF(H60&lt;=I60,"YES","no"))</x:f>
        <x:v>no</x:v>
      </x:c>
      <x:c r="K60" s="10" t="n">
        <x:f t="shared" si="1">IF(OR(COUNT(H60)=0,COUNT(I60)=0),"",LOG10(MAX(H60,I60)))</x:f>
        <x:v>2.47712125471966</x:v>
      </x:c>
    </x:row>
    <x:row r="61">
      <x:c r="A61" s="6" t="s">
        <x:v>93</x:v>
      </x:c>
      <x:c r="B61" s="6">
        <x:v>10</x:v>
      </x:c>
      <x:c r="C61" s="6">
        <x:v>3</x:v>
      </x:c>
      <x:c r="D61" s="6">
        <x:v>2</x:v>
      </x:c>
      <x:c r="E61" s="6">
        <x:v>100</x:v>
      </x:c>
      <x:c r="F61" s="6" t="n">
        <x:v>1</x:v>
      </x:c>
      <x:c r="G61" s="6" t="n">
        <x:v>8</x:v>
      </x:c>
      <x:c r="H61" s="10" t="n">
        <x:f>IF(OR(COUNT(G61)=0,COUNT(E61)=0,COUNT(F61)=0),"",G61*F61*1000/E61)</x:f>
        <x:v>80</x:v>
      </x:c>
      <x:c r="I61" s="10" t="n">
        <x:f>IF(OR(COUNT(E61)=0,COUNT(F61)=0),"",1000*F61/E61)</x:f>
        <x:v>10</x:v>
      </x:c>
      <x:c r="J61" s="13" t="str">
        <x:f t="shared" si="0">IF(OR(COUNT(H61)=0,COUNT(I61)=0),"",IF(H61&lt;=I61,"YES","no"))</x:f>
        <x:v>no</x:v>
      </x:c>
      <x:c r="K61" s="10" t="n">
        <x:f t="shared" si="1">IF(OR(COUNT(H61)=0,COUNT(I61)=0),"",LOG10(MAX(H61,I61)))</x:f>
        <x:v>1.90308998699194</x:v>
      </x:c>
    </x:row>
    <x:row r="62">
      <x:c r="A62" s="6" t="s">
        <x:v>93</x:v>
      </x:c>
      <x:c r="B62" s="6">
        <x:v>10</x:v>
      </x:c>
      <x:c r="C62" s="6">
        <x:v>3</x:v>
      </x:c>
      <x:c r="D62" s="6">
        <x:v>2</x:v>
      </x:c>
      <x:c r="E62" s="6">
        <x:v>100</x:v>
      </x:c>
      <x:c r="F62" s="6" t="n">
        <x:v>1</x:v>
      </x:c>
      <x:c r="G62" s="6" t="n">
        <x:v>4</x:v>
      </x:c>
      <x:c r="H62" s="10" t="n">
        <x:f>IF(OR(COUNT(G62)=0,COUNT(E62)=0,COUNT(F62)=0),"",G62*F62*1000/E62)</x:f>
        <x:v>40</x:v>
      </x:c>
      <x:c r="I62" s="10" t="n">
        <x:f>IF(OR(COUNT(E62)=0,COUNT(F62)=0),"",1000*F62/E62)</x:f>
        <x:v>10</x:v>
      </x:c>
      <x:c r="J62" s="13" t="str">
        <x:f t="shared" si="0">IF(OR(COUNT(H62)=0,COUNT(I62)=0),"",IF(H62&lt;=I62,"YES","no"))</x:f>
        <x:v>no</x:v>
      </x:c>
      <x:c r="K62" s="10" t="n">
        <x:f t="shared" si="1">IF(OR(COUNT(H62)=0,COUNT(I62)=0),"",LOG10(MAX(H62,I62)))</x:f>
        <x:v>1.60205999132796</x:v>
      </x:c>
    </x:row>
    <x:row r="63">
      <x:c r="A63" s="6" t="s">
        <x:v>93</x:v>
      </x:c>
      <x:c r="B63" s="6">
        <x:v>10</x:v>
      </x:c>
      <x:c r="C63" s="6">
        <x:v>3</x:v>
      </x:c>
      <x:c r="D63" s="6">
        <x:v>2</x:v>
      </x:c>
      <x:c r="E63" s="6">
        <x:v>10</x:v>
      </x:c>
      <x:c r="F63" s="6" t="n">
        <x:v>1</x:v>
      </x:c>
      <x:c r="G63" s="6" t="n">
        <x:v>1</x:v>
      </x:c>
      <x:c r="H63" s="10" t="n">
        <x:f>IF(OR(COUNT(G63)=0,COUNT(E63)=0,COUNT(F63)=0),"",G63*F63*1000/E63)</x:f>
        <x:v>100</x:v>
      </x:c>
      <x:c r="I63" s="10" t="n">
        <x:f>IF(OR(COUNT(E63)=0,COUNT(F63)=0),"",1000*F63/E63)</x:f>
        <x:v>100</x:v>
      </x:c>
      <x:c r="J63" s="13" t="str">
        <x:f t="shared" si="0">IF(OR(COUNT(H63)=0,COUNT(I63)=0),"",IF(H63&lt;=I63,"YES","no"))</x:f>
        <x:v>YES</x:v>
      </x:c>
      <x:c r="K63" s="10" t="n">
        <x:f t="shared" si="1">IF(OR(COUNT(H63)=0,COUNT(I63)=0),"",LOG10(MAX(H63,I63)))</x:f>
        <x:v>2</x:v>
      </x:c>
    </x:row>
    <x:row r="64">
      <x:c r="A64" s="6" t="s">
        <x:v>93</x:v>
      </x:c>
      <x:c r="B64" s="6">
        <x:v>10</x:v>
      </x:c>
      <x:c r="C64" s="6">
        <x:v>3</x:v>
      </x:c>
      <x:c r="D64" s="6">
        <x:v>2</x:v>
      </x:c>
      <x:c r="E64" s="6">
        <x:v>10</x:v>
      </x:c>
      <x:c r="F64" s="6" t="n">
        <x:v>1</x:v>
      </x:c>
      <x:c r="G64" s="6" t="n">
        <x:v>1</x:v>
      </x:c>
      <x:c r="H64" s="10" t="n">
        <x:f>IF(OR(COUNT(G64)=0,COUNT(E64)=0,COUNT(F64)=0),"",G64*F64*1000/E64)</x:f>
        <x:v>100</x:v>
      </x:c>
      <x:c r="I64" s="10" t="n">
        <x:f>IF(OR(COUNT(E64)=0,COUNT(F64)=0),"",1000*F64/E64)</x:f>
        <x:v>100</x:v>
      </x:c>
      <x:c r="J64" s="13" t="str">
        <x:f t="shared" si="0">IF(OR(COUNT(H64)=0,COUNT(I64)=0),"",IF(H64&lt;=I64,"YES","no"))</x:f>
        <x:v>YES</x:v>
      </x:c>
      <x:c r="K64" s="10" t="n">
        <x:f t="shared" si="1">IF(OR(COUNT(H64)=0,COUNT(I64)=0),"",LOG10(MAX(H64,I64)))</x:f>
        <x:v>2</x:v>
      </x:c>
    </x:row>
    <x:row r="65">
      <x:c r="A65" s="6" t="s">
        <x:v>93</x:v>
      </x:c>
      <x:c r="B65" s="6">
        <x:v>10</x:v>
      </x:c>
      <x:c r="C65" s="6">
        <x:v>3</x:v>
      </x:c>
      <x:c r="D65" s="6">
        <x:v>4</x:v>
      </x:c>
      <x:c r="E65" s="6">
        <x:v>100</x:v>
      </x:c>
      <x:c r="F65" s="6" t="n">
        <x:v>1</x:v>
      </x:c>
      <x:c r="G65" s="6" t="n">
        <x:v>3</x:v>
      </x:c>
      <x:c r="H65" s="10" t="n">
        <x:f>IF(OR(COUNT(G65)=0,COUNT(E65)=0,COUNT(F65)=0),"",G65*F65*1000/E65)</x:f>
        <x:v>30</x:v>
      </x:c>
      <x:c r="I65" s="10" t="n">
        <x:f>IF(OR(COUNT(E65)=0,COUNT(F65)=0),"",1000*F65/E65)</x:f>
        <x:v>10</x:v>
      </x:c>
      <x:c r="J65" s="13" t="str">
        <x:f t="shared" si="0">IF(OR(COUNT(H65)=0,COUNT(I65)=0),"",IF(H65&lt;=I65,"YES","no"))</x:f>
        <x:v>no</x:v>
      </x:c>
      <x:c r="K65" s="10" t="n">
        <x:f t="shared" si="1">IF(OR(COUNT(H65)=0,COUNT(I65)=0),"",LOG10(MAX(H65,I65)))</x:f>
        <x:v>1.47712125471966</x:v>
      </x:c>
    </x:row>
    <x:row r="66">
      <x:c r="A66" s="6" t="s">
        <x:v>93</x:v>
      </x:c>
      <x:c r="B66" s="6">
        <x:v>10</x:v>
      </x:c>
      <x:c r="C66" s="6">
        <x:v>3</x:v>
      </x:c>
      <x:c r="D66" s="6">
        <x:v>4</x:v>
      </x:c>
      <x:c r="E66" s="6">
        <x:v>100</x:v>
      </x:c>
      <x:c r="F66" s="6" t="n">
        <x:v>1</x:v>
      </x:c>
      <x:c r="G66" s="6" t="n">
        <x:v>2</x:v>
      </x:c>
      <x:c r="H66" s="10" t="n">
        <x:f>IF(OR(COUNT(G66)=0,COUNT(E66)=0,COUNT(F66)=0),"",G66*F66*1000/E66)</x:f>
        <x:v>20</x:v>
      </x:c>
      <x:c r="I66" s="10" t="n">
        <x:f>IF(OR(COUNT(E66)=0,COUNT(F66)=0),"",1000*F66/E66)</x:f>
        <x:v>10</x:v>
      </x:c>
      <x:c r="J66" s="13" t="str">
        <x:f t="shared" si="0">IF(OR(COUNT(H66)=0,COUNT(I66)=0),"",IF(H66&lt;=I66,"YES","no"))</x:f>
        <x:v>no</x:v>
      </x:c>
      <x:c r="K66" s="10" t="n">
        <x:f t="shared" si="1">IF(OR(COUNT(H66)=0,COUNT(I66)=0),"",LOG10(MAX(H66,I66)))</x:f>
        <x:v>1.30102999566398</x:v>
      </x:c>
    </x:row>
    <x:row r="67">
      <x:c r="A67" s="6" t="s">
        <x:v>93</x:v>
      </x:c>
      <x:c r="B67" s="6">
        <x:v>10</x:v>
      </x:c>
      <x:c r="C67" s="6">
        <x:v>3</x:v>
      </x:c>
      <x:c r="D67" s="6">
        <x:v>4</x:v>
      </x:c>
      <x:c r="E67" s="6">
        <x:v>10</x:v>
      </x:c>
      <x:c r="F67" s="6" t="n">
        <x:v>1</x:v>
      </x:c>
      <x:c r="G67" s="6" t="n">
        <x:v>0</x:v>
      </x:c>
      <x:c r="H67" s="10" t="n">
        <x:f>IF(OR(COUNT(G67)=0,COUNT(E67)=0,COUNT(F67)=0),"",G67*F67*1000/E67)</x:f>
        <x:v>0</x:v>
      </x:c>
      <x:c r="I67" s="10" t="n">
        <x:f>IF(OR(COUNT(E67)=0,COUNT(F67)=0),"",1000*F67/E67)</x:f>
        <x:v>100</x:v>
      </x:c>
      <x:c r="J67" s="13" t="str">
        <x:f t="shared" si="0">IF(OR(COUNT(H67)=0,COUNT(I67)=0),"",IF(H67&lt;=I67,"YES","no"))</x:f>
        <x:v>YES</x:v>
      </x:c>
      <x:c r="K67" s="10" t="n">
        <x:f t="shared" si="1">IF(OR(COUNT(H67)=0,COUNT(I67)=0),"",LOG10(MAX(H67,I67)))</x:f>
        <x:v>2</x:v>
      </x:c>
    </x:row>
    <x:row r="68">
      <x:c r="A68" s="6" t="s">
        <x:v>93</x:v>
      </x:c>
      <x:c r="B68" s="6">
        <x:v>10</x:v>
      </x:c>
      <x:c r="C68" s="6">
        <x:v>3</x:v>
      </x:c>
      <x:c r="D68" s="6">
        <x:v>4</x:v>
      </x:c>
      <x:c r="E68" s="6">
        <x:v>10</x:v>
      </x:c>
      <x:c r="F68" s="6" t="n">
        <x:v>1</x:v>
      </x:c>
      <x:c r="G68" s="6" t="n">
        <x:v>0</x:v>
      </x:c>
      <x:c r="H68" s="10" t="n">
        <x:f>IF(OR(COUNT(G68)=0,COUNT(E68)=0,COUNT(F68)=0),"",G68*F68*1000/E68)</x:f>
        <x:v>0</x:v>
      </x:c>
      <x:c r="I68" s="10" t="n">
        <x:f>IF(OR(COUNT(E68)=0,COUNT(F68)=0),"",1000*F68/E68)</x:f>
        <x:v>100</x:v>
      </x:c>
      <x:c r="J68" s="13" t="str">
        <x:f t="shared" si="0">IF(OR(COUNT(H68)=0,COUNT(I68)=0),"",IF(H68&lt;=I68,"YES","no"))</x:f>
        <x:v>YES</x:v>
      </x:c>
      <x:c r="K68" s="10" t="n">
        <x:f t="shared" si="1">IF(OR(COUNT(H68)=0,COUNT(I68)=0),"",LOG10(MAX(H68,I68)))</x:f>
        <x:v>2</x:v>
      </x:c>
    </x:row>
    <x:row r="69">
      <x:c r="A69" s="6" t="s">
        <x:v>93</x:v>
      </x:c>
      <x:c r="B69" s="6">
        <x:v>10</x:v>
      </x:c>
      <x:c r="C69" s="6">
        <x:v>3</x:v>
      </x:c>
      <x:c r="D69" s="6">
        <x:v>6</x:v>
      </x:c>
      <x:c r="E69" s="6">
        <x:v>100</x:v>
      </x:c>
      <x:c r="F69" s="6" t="n">
        <x:v>1</x:v>
      </x:c>
      <x:c r="G69" s="6" t="n">
        <x:v>1</x:v>
      </x:c>
      <x:c r="H69" s="10" t="n">
        <x:f>IF(OR(COUNT(G69)=0,COUNT(E69)=0,COUNT(F69)=0),"",G69*F69*1000/E69)</x:f>
        <x:v>10</x:v>
      </x:c>
      <x:c r="I69" s="10" t="n">
        <x:f>IF(OR(COUNT(E69)=0,COUNT(F69)=0),"",1000*F69/E69)</x:f>
        <x:v>10</x:v>
      </x:c>
      <x:c r="J69" s="13" t="str">
        <x:f t="shared" ref="J69:J132" si="2">IF(OR(COUNT(H69)=0,COUNT(I69)=0),"",IF(H69&lt;=I69,"YES","no"))</x:f>
        <x:v>YES</x:v>
      </x:c>
      <x:c r="K69" s="10" t="n">
        <x:f t="shared" ref="K69:K132" si="3">IF(OR(COUNT(H69)=0,COUNT(I69)=0),"",LOG10(MAX(H69,I69)))</x:f>
        <x:v>1</x:v>
      </x:c>
    </x:row>
    <x:row r="70">
      <x:c r="A70" s="6" t="s">
        <x:v>93</x:v>
      </x:c>
      <x:c r="B70" s="6">
        <x:v>10</x:v>
      </x:c>
      <x:c r="C70" s="6">
        <x:v>3</x:v>
      </x:c>
      <x:c r="D70" s="6">
        <x:v>6</x:v>
      </x:c>
      <x:c r="E70" s="6">
        <x:v>100</x:v>
      </x:c>
      <x:c r="F70" s="6" t="n">
        <x:v>1</x:v>
      </x:c>
      <x:c r="G70" s="6" t="n">
        <x:v>0</x:v>
      </x:c>
      <x:c r="H70" s="10" t="n">
        <x:f>IF(OR(COUNT(G70)=0,COUNT(E70)=0,COUNT(F70)=0),"",G70*F70*1000/E70)</x:f>
        <x:v>0</x:v>
      </x:c>
      <x:c r="I70" s="10" t="n">
        <x:f>IF(OR(COUNT(E70)=0,COUNT(F70)=0),"",1000*F70/E70)</x:f>
        <x:v>10</x:v>
      </x:c>
      <x:c r="J70" s="13" t="str">
        <x:f t="shared" si="2">IF(OR(COUNT(H70)=0,COUNT(I70)=0),"",IF(H70&lt;=I70,"YES","no"))</x:f>
        <x:v>YES</x:v>
      </x:c>
      <x:c r="K70" s="10" t="n">
        <x:f t="shared" si="3">IF(OR(COUNT(H70)=0,COUNT(I70)=0),"",LOG10(MAX(H70,I70)))</x:f>
        <x:v>1</x:v>
      </x:c>
    </x:row>
    <x:row r="71">
      <x:c r="A71" s="6" t="s">
        <x:v>93</x:v>
      </x:c>
      <x:c r="B71" s="6">
        <x:v>10</x:v>
      </x:c>
      <x:c r="C71" s="6">
        <x:v>3</x:v>
      </x:c>
      <x:c r="D71" s="6">
        <x:v>6</x:v>
      </x:c>
      <x:c r="E71" s="6">
        <x:v>10</x:v>
      </x:c>
      <x:c r="F71" s="6" t="n">
        <x:v>1</x:v>
      </x:c>
      <x:c r="G71" s="6" t="n">
        <x:v>0</x:v>
      </x:c>
      <x:c r="H71" s="10" t="n">
        <x:f>IF(OR(COUNT(G71)=0,COUNT(E71)=0,COUNT(F71)=0),"",G71*F71*1000/E71)</x:f>
        <x:v>0</x:v>
      </x:c>
      <x:c r="I71" s="10" t="n">
        <x:f>IF(OR(COUNT(E71)=0,COUNT(F71)=0),"",1000*F71/E71)</x:f>
        <x:v>100</x:v>
      </x:c>
      <x:c r="J71" s="13" t="str">
        <x:f t="shared" si="2">IF(OR(COUNT(H71)=0,COUNT(I71)=0),"",IF(H71&lt;=I71,"YES","no"))</x:f>
        <x:v>YES</x:v>
      </x:c>
      <x:c r="K71" s="10" t="n">
        <x:f t="shared" si="3">IF(OR(COUNT(H71)=0,COUNT(I71)=0),"",LOG10(MAX(H71,I71)))</x:f>
        <x:v>2</x:v>
      </x:c>
    </x:row>
    <x:row r="72">
      <x:c r="A72" s="6" t="s">
        <x:v>93</x:v>
      </x:c>
      <x:c r="B72" s="6">
        <x:v>10</x:v>
      </x:c>
      <x:c r="C72" s="6">
        <x:v>3</x:v>
      </x:c>
      <x:c r="D72" s="6">
        <x:v>6</x:v>
      </x:c>
      <x:c r="E72" s="6">
        <x:v>10</x:v>
      </x:c>
      <x:c r="F72" s="6" t="n">
        <x:v>1</x:v>
      </x:c>
      <x:c r="G72" s="6" t="n">
        <x:v>0</x:v>
      </x:c>
      <x:c r="H72" s="10" t="n">
        <x:f>IF(OR(COUNT(G72)=0,COUNT(E72)=0,COUNT(F72)=0),"",G72*F72*1000/E72)</x:f>
        <x:v>0</x:v>
      </x:c>
      <x:c r="I72" s="10" t="n">
        <x:f>IF(OR(COUNT(E72)=0,COUNT(F72)=0),"",1000*F72/E72)</x:f>
        <x:v>100</x:v>
      </x:c>
      <x:c r="J72" s="13" t="str">
        <x:f t="shared" si="2">IF(OR(COUNT(H72)=0,COUNT(I72)=0),"",IF(H72&lt;=I72,"YES","no"))</x:f>
        <x:v>YES</x:v>
      </x:c>
      <x:c r="K72" s="10" t="n">
        <x:f t="shared" si="3">IF(OR(COUNT(H72)=0,COUNT(I72)=0),"",LOG10(MAX(H72,I72)))</x:f>
        <x:v>2</x:v>
      </x:c>
    </x:row>
    <x:row r="73">
      <x:c r="A73" s="6" t="s">
        <x:v>93</x:v>
      </x:c>
      <x:c r="B73" s="6">
        <x:v>10</x:v>
      </x:c>
      <x:c r="C73" s="6">
        <x:v>3</x:v>
      </x:c>
      <x:c r="D73" s="6">
        <x:v>24</x:v>
      </x:c>
      <x:c r="E73" s="6">
        <x:v>100</x:v>
      </x:c>
      <x:c r="F73" s="6" t="n">
        <x:v>1</x:v>
      </x:c>
      <x:c r="G73" s="6" t="n">
        <x:v>0</x:v>
      </x:c>
      <x:c r="H73" s="10" t="n">
        <x:f>IF(OR(COUNT(G73)=0,COUNT(E73)=0,COUNT(F73)=0),"",G73*F73*1000/E73)</x:f>
        <x:v>0</x:v>
      </x:c>
      <x:c r="I73" s="10" t="n">
        <x:f>IF(OR(COUNT(E73)=0,COUNT(F73)=0),"",1000*F73/E73)</x:f>
        <x:v>10</x:v>
      </x:c>
      <x:c r="J73" s="13" t="str">
        <x:f t="shared" si="2">IF(OR(COUNT(H73)=0,COUNT(I73)=0),"",IF(H73&lt;=I73,"YES","no"))</x:f>
        <x:v>YES</x:v>
      </x:c>
      <x:c r="K73" s="10" t="n">
        <x:f t="shared" si="3">IF(OR(COUNT(H73)=0,COUNT(I73)=0),"",LOG10(MAX(H73,I73)))</x:f>
        <x:v>1</x:v>
      </x:c>
    </x:row>
    <x:row r="74">
      <x:c r="A74" s="6" t="s">
        <x:v>93</x:v>
      </x:c>
      <x:c r="B74" s="6">
        <x:v>10</x:v>
      </x:c>
      <x:c r="C74" s="6">
        <x:v>3</x:v>
      </x:c>
      <x:c r="D74" s="6">
        <x:v>24</x:v>
      </x:c>
      <x:c r="E74" s="6">
        <x:v>100</x:v>
      </x:c>
      <x:c r="F74" s="6" t="n">
        <x:v>1</x:v>
      </x:c>
      <x:c r="G74" s="6" t="n">
        <x:v>0</x:v>
      </x:c>
      <x:c r="H74" s="10" t="n">
        <x:f>IF(OR(COUNT(G74)=0,COUNT(E74)=0,COUNT(F74)=0),"",G74*F74*1000/E74)</x:f>
        <x:v>0</x:v>
      </x:c>
      <x:c r="I74" s="10" t="n">
        <x:f>IF(OR(COUNT(E74)=0,COUNT(F74)=0),"",1000*F74/E74)</x:f>
        <x:v>10</x:v>
      </x:c>
      <x:c r="J74" s="13" t="str">
        <x:f t="shared" si="2">IF(OR(COUNT(H74)=0,COUNT(I74)=0),"",IF(H74&lt;=I74,"YES","no"))</x:f>
        <x:v>YES</x:v>
      </x:c>
      <x:c r="K74" s="10" t="n">
        <x:f t="shared" si="3">IF(OR(COUNT(H74)=0,COUNT(I74)=0),"",LOG10(MAX(H74,I74)))</x:f>
        <x:v>1</x:v>
      </x:c>
    </x:row>
    <x:row r="75">
      <x:c r="A75" s="6" t="s">
        <x:v>93</x:v>
      </x:c>
      <x:c r="B75" s="6">
        <x:v>10</x:v>
      </x:c>
      <x:c r="C75" s="6">
        <x:v>3</x:v>
      </x:c>
      <x:c r="D75" s="6">
        <x:v>24</x:v>
      </x:c>
      <x:c r="E75" s="6">
        <x:v>10</x:v>
      </x:c>
      <x:c r="F75" s="6" t="n">
        <x:v>1</x:v>
      </x:c>
      <x:c r="G75" s="6" t="n">
        <x:v>0</x:v>
      </x:c>
      <x:c r="H75" s="10" t="n">
        <x:f>IF(OR(COUNT(G75)=0,COUNT(E75)=0,COUNT(F75)=0),"",G75*F75*1000/E75)</x:f>
        <x:v>0</x:v>
      </x:c>
      <x:c r="I75" s="10" t="n">
        <x:f>IF(OR(COUNT(E75)=0,COUNT(F75)=0),"",1000*F75/E75)</x:f>
        <x:v>100</x:v>
      </x:c>
      <x:c r="J75" s="13" t="str">
        <x:f t="shared" si="2">IF(OR(COUNT(H75)=0,COUNT(I75)=0),"",IF(H75&lt;=I75,"YES","no"))</x:f>
        <x:v>YES</x:v>
      </x:c>
      <x:c r="K75" s="10" t="n">
        <x:f t="shared" si="3">IF(OR(COUNT(H75)=0,COUNT(I75)=0),"",LOG10(MAX(H75,I75)))</x:f>
        <x:v>2</x:v>
      </x:c>
    </x:row>
    <x:row r="76">
      <x:c r="A76" s="6" t="s">
        <x:v>93</x:v>
      </x:c>
      <x:c r="B76" s="6">
        <x:v>10</x:v>
      </x:c>
      <x:c r="C76" s="6">
        <x:v>3</x:v>
      </x:c>
      <x:c r="D76" s="6">
        <x:v>24</x:v>
      </x:c>
      <x:c r="E76" s="6">
        <x:v>10</x:v>
      </x:c>
      <x:c r="F76" s="6" t="n">
        <x:v>1</x:v>
      </x:c>
      <x:c r="G76" s="6" t="n">
        <x:v>0</x:v>
      </x:c>
      <x:c r="H76" s="10" t="n">
        <x:f>IF(OR(COUNT(G76)=0,COUNT(E76)=0,COUNT(F76)=0),"",G76*F76*1000/E76)</x:f>
        <x:v>0</x:v>
      </x:c>
      <x:c r="I76" s="10" t="n">
        <x:f>IF(OR(COUNT(E76)=0,COUNT(F76)=0),"",1000*F76/E76)</x:f>
        <x:v>100</x:v>
      </x:c>
      <x:c r="J76" s="13" t="str">
        <x:f t="shared" si="2">IF(OR(COUNT(H76)=0,COUNT(I76)=0),"",IF(H76&lt;=I76,"YES","no"))</x:f>
        <x:v>YES</x:v>
      </x:c>
      <x:c r="K76" s="10" t="n">
        <x:f t="shared" si="3">IF(OR(COUNT(H76)=0,COUNT(I76)=0),"",LOG10(MAX(H76,I76)))</x:f>
        <x:v>2</x:v>
      </x:c>
    </x:row>
    <x:row r="77">
      <x:c r="A77" s="6" t="s">
        <x:v>94</x:v>
      </x:c>
      <x:c r="B77" s="6">
        <x:v>10</x:v>
      </x:c>
      <x:c r="C77" s="6">
        <x:v>1</x:v>
      </x:c>
      <x:c r="D77" s="6">
        <x:v>0</x:v>
      </x:c>
      <x:c r="E77" s="6">
        <x:v>100</x:v>
      </x:c>
      <x:c r="F77" s="6" t="n">
        <x:v>1000</x:v>
      </x:c>
      <x:c r="G77" s="6" t="n">
        <x:v>66</x:v>
      </x:c>
      <x:c r="H77" s="10" t="n">
        <x:f>IF(OR(COUNT(G77)=0,COUNT(E77)=0,COUNT(F77)=0),"",G77*F77*1000/E77)</x:f>
        <x:v>660000</x:v>
      </x:c>
      <x:c r="I77" s="10" t="n">
        <x:f>IF(OR(COUNT(E77)=0,COUNT(F77)=0),"",1000*F77/E77)</x:f>
        <x:v>10000</x:v>
      </x:c>
      <x:c r="J77" s="13" t="str">
        <x:f t="shared" si="2">IF(OR(COUNT(H77)=0,COUNT(I77)=0),"",IF(H77&lt;=I77,"YES","no"))</x:f>
        <x:v>no</x:v>
      </x:c>
      <x:c r="K77" s="10" t="n">
        <x:f t="shared" si="3">IF(OR(COUNT(H77)=0,COUNT(I77)=0),"",LOG10(MAX(H77,I77)))</x:f>
        <x:v>5.81954393554187</x:v>
      </x:c>
    </x:row>
    <x:row r="78">
      <x:c r="A78" s="6" t="s">
        <x:v>94</x:v>
      </x:c>
      <x:c r="B78" s="6">
        <x:v>10</x:v>
      </x:c>
      <x:c r="C78" s="6">
        <x:v>1</x:v>
      </x:c>
      <x:c r="D78" s="6">
        <x:v>0</x:v>
      </x:c>
      <x:c r="E78" s="6">
        <x:v>100</x:v>
      </x:c>
      <x:c r="F78" s="6" t="n">
        <x:v>1000</x:v>
      </x:c>
      <x:c r="G78" s="6" t="n">
        <x:v>47</x:v>
      </x:c>
      <x:c r="H78" s="10" t="n">
        <x:f>IF(OR(COUNT(G78)=0,COUNT(E78)=0,COUNT(F78)=0),"",G78*F78*1000/E78)</x:f>
        <x:v>470000</x:v>
      </x:c>
      <x:c r="I78" s="10" t="n">
        <x:f>IF(OR(COUNT(E78)=0,COUNT(F78)=0),"",1000*F78/E78)</x:f>
        <x:v>10000</x:v>
      </x:c>
      <x:c r="J78" s="13" t="str">
        <x:f t="shared" si="2">IF(OR(COUNT(H78)=0,COUNT(I78)=0),"",IF(H78&lt;=I78,"YES","no"))</x:f>
        <x:v>no</x:v>
      </x:c>
      <x:c r="K78" s="10" t="n">
        <x:f t="shared" si="3">IF(OR(COUNT(H78)=0,COUNT(I78)=0),"",LOG10(MAX(H78,I78)))</x:f>
        <x:v>5.67209785793572</x:v>
      </x:c>
    </x:row>
    <x:row r="79">
      <x:c r="A79" s="6" t="s">
        <x:v>94</x:v>
      </x:c>
      <x:c r="B79" s="6">
        <x:v>10</x:v>
      </x:c>
      <x:c r="C79" s="6">
        <x:v>1</x:v>
      </x:c>
      <x:c r="D79" s="6">
        <x:v>0</x:v>
      </x:c>
      <x:c r="E79" s="6">
        <x:v>10</x:v>
      </x:c>
      <x:c r="F79" s="6" t="n">
        <x:v>100</x:v>
      </x:c>
      <x:c r="G79" s="6" t="n">
        <x:v>46</x:v>
      </x:c>
      <x:c r="H79" s="10" t="n">
        <x:f>IF(OR(COUNT(G79)=0,COUNT(E79)=0,COUNT(F79)=0),"",G79*F79*1000/E79)</x:f>
        <x:v>460000</x:v>
      </x:c>
      <x:c r="I79" s="10" t="n">
        <x:f>IF(OR(COUNT(E79)=0,COUNT(F79)=0),"",1000*F79/E79)</x:f>
        <x:v>10000</x:v>
      </x:c>
      <x:c r="J79" s="13" t="str">
        <x:f t="shared" si="2">IF(OR(COUNT(H79)=0,COUNT(I79)=0),"",IF(H79&lt;=I79,"YES","no"))</x:f>
        <x:v>no</x:v>
      </x:c>
      <x:c r="K79" s="10" t="n">
        <x:f t="shared" si="3">IF(OR(COUNT(H79)=0,COUNT(I79)=0),"",LOG10(MAX(H79,I79)))</x:f>
        <x:v>5.66275783168157</x:v>
      </x:c>
    </x:row>
    <x:row r="80">
      <x:c r="A80" s="6" t="s">
        <x:v>94</x:v>
      </x:c>
      <x:c r="B80" s="6">
        <x:v>10</x:v>
      </x:c>
      <x:c r="C80" s="6">
        <x:v>1</x:v>
      </x:c>
      <x:c r="D80" s="6">
        <x:v>0</x:v>
      </x:c>
      <x:c r="E80" s="6">
        <x:v>10</x:v>
      </x:c>
      <x:c r="F80" s="6" t="n">
        <x:v>100</x:v>
      </x:c>
      <x:c r="G80" s="6" t="n">
        <x:v>39</x:v>
      </x:c>
      <x:c r="H80" s="10" t="n">
        <x:f>IF(OR(COUNT(G80)=0,COUNT(E80)=0,COUNT(F80)=0),"",G80*F80*1000/E80)</x:f>
        <x:v>390000</x:v>
      </x:c>
      <x:c r="I80" s="10" t="n">
        <x:f>IF(OR(COUNT(E80)=0,COUNT(F80)=0),"",1000*F80/E80)</x:f>
        <x:v>10000</x:v>
      </x:c>
      <x:c r="J80" s="13" t="str">
        <x:f t="shared" si="2">IF(OR(COUNT(H80)=0,COUNT(I80)=0),"",IF(H80&lt;=I80,"YES","no"))</x:f>
        <x:v>no</x:v>
      </x:c>
      <x:c r="K80" s="10" t="n">
        <x:f t="shared" si="3">IF(OR(COUNT(H80)=0,COUNT(I80)=0),"",LOG10(MAX(H80,I80)))</x:f>
        <x:v>5.5910646070265</x:v>
      </x:c>
    </x:row>
    <x:row r="81">
      <x:c r="A81" s="6" t="s">
        <x:v>94</x:v>
      </x:c>
      <x:c r="B81" s="6">
        <x:v>10</x:v>
      </x:c>
      <x:c r="C81" s="6">
        <x:v>1</x:v>
      </x:c>
      <x:c r="D81" s="6">
        <x:v>1</x:v>
      </x:c>
      <x:c r="E81" s="6">
        <x:v>100</x:v>
      </x:c>
      <x:c r="F81" s="6" t="n">
        <x:v>10</x:v>
      </x:c>
      <x:c r="G81" s="6" t="n">
        <x:v>186</x:v>
      </x:c>
      <x:c r="H81" s="10" t="n">
        <x:f>IF(OR(COUNT(G81)=0,COUNT(E81)=0,COUNT(F81)=0),"",G81*F81*1000/E81)</x:f>
        <x:v>18600</x:v>
      </x:c>
      <x:c r="I81" s="10" t="n">
        <x:f>IF(OR(COUNT(E81)=0,COUNT(F81)=0),"",1000*F81/E81)</x:f>
        <x:v>100</x:v>
      </x:c>
      <x:c r="J81" s="13" t="str">
        <x:f t="shared" si="2">IF(OR(COUNT(H81)=0,COUNT(I81)=0),"",IF(H81&lt;=I81,"YES","no"))</x:f>
        <x:v>no</x:v>
      </x:c>
      <x:c r="K81" s="10" t="n">
        <x:f t="shared" si="3">IF(OR(COUNT(H81)=0,COUNT(I81)=0),"",LOG10(MAX(H81,I81)))</x:f>
        <x:v>4.26951294421792</x:v>
      </x:c>
    </x:row>
    <x:row r="82">
      <x:c r="A82" s="6" t="s">
        <x:v>94</x:v>
      </x:c>
      <x:c r="B82" s="6">
        <x:v>10</x:v>
      </x:c>
      <x:c r="C82" s="6">
        <x:v>1</x:v>
      </x:c>
      <x:c r="D82" s="6">
        <x:v>1</x:v>
      </x:c>
      <x:c r="E82" s="6">
        <x:v>100</x:v>
      </x:c>
      <x:c r="F82" s="6" t="n">
        <x:v>10</x:v>
      </x:c>
      <x:c r="G82" s="6" t="n">
        <x:v>139</x:v>
      </x:c>
      <x:c r="H82" s="10" t="n">
        <x:f>IF(OR(COUNT(G82)=0,COUNT(E82)=0,COUNT(F82)=0),"",G82*F82*1000/E82)</x:f>
        <x:v>13900</x:v>
      </x:c>
      <x:c r="I82" s="10" t="n">
        <x:f>IF(OR(COUNT(E82)=0,COUNT(F82)=0),"",1000*F82/E82)</x:f>
        <x:v>100</x:v>
      </x:c>
      <x:c r="J82" s="13" t="str">
        <x:f t="shared" si="2">IF(OR(COUNT(H82)=0,COUNT(I82)=0),"",IF(H82&lt;=I82,"YES","no"))</x:f>
        <x:v>no</x:v>
      </x:c>
      <x:c r="K82" s="10" t="n">
        <x:f t="shared" si="3">IF(OR(COUNT(H82)=0,COUNT(I82)=0),"",LOG10(MAX(H82,I82)))</x:f>
        <x:v>4.14301480025409</x:v>
      </x:c>
    </x:row>
    <x:row r="83">
      <x:c r="A83" s="6" t="s">
        <x:v>94</x:v>
      </x:c>
      <x:c r="B83" s="6">
        <x:v>10</x:v>
      </x:c>
      <x:c r="C83" s="6">
        <x:v>1</x:v>
      </x:c>
      <x:c r="D83" s="6">
        <x:v>1</x:v>
      </x:c>
      <x:c r="E83" s="6">
        <x:v>10</x:v>
      </x:c>
      <x:c r="F83" s="6" t="n">
        <x:v>1</x:v>
      </x:c>
      <x:c r="G83" s="6" t="n">
        <x:v>182</x:v>
      </x:c>
      <x:c r="H83" s="10" t="n">
        <x:f>IF(OR(COUNT(G83)=0,COUNT(E83)=0,COUNT(F83)=0),"",G83*F83*1000/E83)</x:f>
        <x:v>18200</x:v>
      </x:c>
      <x:c r="I83" s="10" t="n">
        <x:f>IF(OR(COUNT(E83)=0,COUNT(F83)=0),"",1000*F83/E83)</x:f>
        <x:v>100</x:v>
      </x:c>
      <x:c r="J83" s="13" t="str">
        <x:f t="shared" si="2">IF(OR(COUNT(H83)=0,COUNT(I83)=0),"",IF(H83&lt;=I83,"YES","no"))</x:f>
        <x:v>no</x:v>
      </x:c>
      <x:c r="K83" s="10" t="n">
        <x:f t="shared" si="3">IF(OR(COUNT(H83)=0,COUNT(I83)=0),"",LOG10(MAX(H83,I83)))</x:f>
        <x:v>4.26007138798507</x:v>
      </x:c>
    </x:row>
    <x:row r="84">
      <x:c r="A84" s="6" t="s">
        <x:v>94</x:v>
      </x:c>
      <x:c r="B84" s="6">
        <x:v>10</x:v>
      </x:c>
      <x:c r="C84" s="6">
        <x:v>1</x:v>
      </x:c>
      <x:c r="D84" s="6">
        <x:v>1</x:v>
      </x:c>
      <x:c r="E84" s="6">
        <x:v>10</x:v>
      </x:c>
      <x:c r="F84" s="6" t="n">
        <x:v>1</x:v>
      </x:c>
      <x:c r="G84" s="6" t="n">
        <x:v>182</x:v>
      </x:c>
      <x:c r="H84" s="10" t="n">
        <x:f>IF(OR(COUNT(G84)=0,COUNT(E84)=0,COUNT(F84)=0),"",G84*F84*1000/E84)</x:f>
        <x:v>18200</x:v>
      </x:c>
      <x:c r="I84" s="10" t="n">
        <x:f>IF(OR(COUNT(E84)=0,COUNT(F84)=0),"",1000*F84/E84)</x:f>
        <x:v>100</x:v>
      </x:c>
      <x:c r="J84" s="13" t="str">
        <x:f t="shared" si="2">IF(OR(COUNT(H84)=0,COUNT(I84)=0),"",IF(H84&lt;=I84,"YES","no"))</x:f>
        <x:v>no</x:v>
      </x:c>
      <x:c r="K84" s="10" t="n">
        <x:f t="shared" si="3">IF(OR(COUNT(H84)=0,COUNT(I84)=0),"",LOG10(MAX(H84,I84)))</x:f>
        <x:v>4.26007138798507</x:v>
      </x:c>
    </x:row>
    <x:row r="85">
      <x:c r="A85" s="6" t="s">
        <x:v>94</x:v>
      </x:c>
      <x:c r="B85" s="6">
        <x:v>10</x:v>
      </x:c>
      <x:c r="C85" s="6">
        <x:v>1</x:v>
      </x:c>
      <x:c r="D85" s="6">
        <x:v>2</x:v>
      </x:c>
      <x:c r="E85" s="6">
        <x:v>100</x:v>
      </x:c>
      <x:c r="F85" s="6" t="n">
        <x:v>10</x:v>
      </x:c>
      <x:c r="G85" s="6" t="n">
        <x:v>22</x:v>
      </x:c>
      <x:c r="H85" s="10" t="n">
        <x:f>IF(OR(COUNT(G85)=0,COUNT(E85)=0,COUNT(F85)=0),"",G85*F85*1000/E85)</x:f>
        <x:v>2200</x:v>
      </x:c>
      <x:c r="I85" s="10" t="n">
        <x:f>IF(OR(COUNT(E85)=0,COUNT(F85)=0),"",1000*F85/E85)</x:f>
        <x:v>100</x:v>
      </x:c>
      <x:c r="J85" s="13" t="str">
        <x:f t="shared" si="2">IF(OR(COUNT(H85)=0,COUNT(I85)=0),"",IF(H85&lt;=I85,"YES","no"))</x:f>
        <x:v>no</x:v>
      </x:c>
      <x:c r="K85" s="10" t="n">
        <x:f t="shared" si="3">IF(OR(COUNT(H85)=0,COUNT(I85)=0),"",LOG10(MAX(H85,I85)))</x:f>
        <x:v>3.34242268082221</x:v>
      </x:c>
    </x:row>
    <x:row r="86">
      <x:c r="A86" s="6" t="s">
        <x:v>94</x:v>
      </x:c>
      <x:c r="B86" s="6">
        <x:v>10</x:v>
      </x:c>
      <x:c r="C86" s="6">
        <x:v>1</x:v>
      </x:c>
      <x:c r="D86" s="6">
        <x:v>2</x:v>
      </x:c>
      <x:c r="E86" s="6">
        <x:v>100</x:v>
      </x:c>
      <x:c r="F86" s="6" t="n">
        <x:v>10</x:v>
      </x:c>
      <x:c r="G86" s="6" t="n">
        <x:v>31</x:v>
      </x:c>
      <x:c r="H86" s="10" t="n">
        <x:f>IF(OR(COUNT(G86)=0,COUNT(E86)=0,COUNT(F86)=0),"",G86*F86*1000/E86)</x:f>
        <x:v>3100</x:v>
      </x:c>
      <x:c r="I86" s="10" t="n">
        <x:f>IF(OR(COUNT(E86)=0,COUNT(F86)=0),"",1000*F86/E86)</x:f>
        <x:v>100</x:v>
      </x:c>
      <x:c r="J86" s="13" t="str">
        <x:f t="shared" si="2">IF(OR(COUNT(H86)=0,COUNT(I86)=0),"",IF(H86&lt;=I86,"YES","no"))</x:f>
        <x:v>no</x:v>
      </x:c>
      <x:c r="K86" s="10" t="n">
        <x:f t="shared" si="3">IF(OR(COUNT(H86)=0,COUNT(I86)=0),"",LOG10(MAX(H86,I86)))</x:f>
        <x:v>3.49136169383427</x:v>
      </x:c>
    </x:row>
    <x:row r="87">
      <x:c r="A87" s="6" t="s">
        <x:v>94</x:v>
      </x:c>
      <x:c r="B87" s="6">
        <x:v>10</x:v>
      </x:c>
      <x:c r="C87" s="6">
        <x:v>1</x:v>
      </x:c>
      <x:c r="D87" s="6">
        <x:v>2</x:v>
      </x:c>
      <x:c r="E87" s="6">
        <x:v>10</x:v>
      </x:c>
      <x:c r="F87" s="6" t="n">
        <x:v>1</x:v>
      </x:c>
      <x:c r="G87" s="6" t="n">
        <x:v>32</x:v>
      </x:c>
      <x:c r="H87" s="10" t="n">
        <x:f>IF(OR(COUNT(G87)=0,COUNT(E87)=0,COUNT(F87)=0),"",G87*F87*1000/E87)</x:f>
        <x:v>3200</x:v>
      </x:c>
      <x:c r="I87" s="10" t="n">
        <x:f>IF(OR(COUNT(E87)=0,COUNT(F87)=0),"",1000*F87/E87)</x:f>
        <x:v>100</x:v>
      </x:c>
      <x:c r="J87" s="13" t="str">
        <x:f t="shared" si="2">IF(OR(COUNT(H87)=0,COUNT(I87)=0),"",IF(H87&lt;=I87,"YES","no"))</x:f>
        <x:v>no</x:v>
      </x:c>
      <x:c r="K87" s="10" t="n">
        <x:f t="shared" si="3">IF(OR(COUNT(H87)=0,COUNT(I87)=0),"",LOG10(MAX(H87,I87)))</x:f>
        <x:v>3.50514997831991</x:v>
      </x:c>
    </x:row>
    <x:row r="88">
      <x:c r="A88" s="6" t="s">
        <x:v>94</x:v>
      </x:c>
      <x:c r="B88" s="6">
        <x:v>10</x:v>
      </x:c>
      <x:c r="C88" s="6">
        <x:v>1</x:v>
      </x:c>
      <x:c r="D88" s="6">
        <x:v>2</x:v>
      </x:c>
      <x:c r="E88" s="6">
        <x:v>10</x:v>
      </x:c>
      <x:c r="F88" s="6" t="n">
        <x:v>1</x:v>
      </x:c>
      <x:c r="G88" s="6" t="n">
        <x:v>22</x:v>
      </x:c>
      <x:c r="H88" s="10" t="n">
        <x:f>IF(OR(COUNT(G88)=0,COUNT(E88)=0,COUNT(F88)=0),"",G88*F88*1000/E88)</x:f>
        <x:v>2200</x:v>
      </x:c>
      <x:c r="I88" s="10" t="n">
        <x:f>IF(OR(COUNT(E88)=0,COUNT(F88)=0),"",1000*F88/E88)</x:f>
        <x:v>100</x:v>
      </x:c>
      <x:c r="J88" s="13" t="str">
        <x:f t="shared" si="2">IF(OR(COUNT(H88)=0,COUNT(I88)=0),"",IF(H88&lt;=I88,"YES","no"))</x:f>
        <x:v>no</x:v>
      </x:c>
      <x:c r="K88" s="10" t="n">
        <x:f t="shared" si="3">IF(OR(COUNT(H88)=0,COUNT(I88)=0),"",LOG10(MAX(H88,I88)))</x:f>
        <x:v>3.34242268082221</x:v>
      </x:c>
    </x:row>
    <x:row r="89">
      <x:c r="A89" s="6" t="s">
        <x:v>94</x:v>
      </x:c>
      <x:c r="B89" s="6">
        <x:v>10</x:v>
      </x:c>
      <x:c r="C89" s="6">
        <x:v>1</x:v>
      </x:c>
      <x:c r="D89" s="6">
        <x:v>4</x:v>
      </x:c>
      <x:c r="E89" s="6">
        <x:v>100</x:v>
      </x:c>
      <x:c r="F89" s="6" t="n">
        <x:v>1</x:v>
      </x:c>
      <x:c r="G89" s="6" t="n">
        <x:v>24</x:v>
      </x:c>
      <x:c r="H89" s="10" t="n">
        <x:f>IF(OR(COUNT(G89)=0,COUNT(E89)=0,COUNT(F89)=0),"",G89*F89*1000/E89)</x:f>
        <x:v>240</x:v>
      </x:c>
      <x:c r="I89" s="10" t="n">
        <x:f>IF(OR(COUNT(E89)=0,COUNT(F89)=0),"",1000*F89/E89)</x:f>
        <x:v>10</x:v>
      </x:c>
      <x:c r="J89" s="13" t="str">
        <x:f t="shared" si="2">IF(OR(COUNT(H89)=0,COUNT(I89)=0),"",IF(H89&lt;=I89,"YES","no"))</x:f>
        <x:v>no</x:v>
      </x:c>
      <x:c r="K89" s="10" t="n">
        <x:f t="shared" si="3">IF(OR(COUNT(H89)=0,COUNT(I89)=0),"",LOG10(MAX(H89,I89)))</x:f>
        <x:v>2.38021124171161</x:v>
      </x:c>
    </x:row>
    <x:row r="90">
      <x:c r="A90" s="6" t="s">
        <x:v>94</x:v>
      </x:c>
      <x:c r="B90" s="6">
        <x:v>10</x:v>
      </x:c>
      <x:c r="C90" s="6">
        <x:v>1</x:v>
      </x:c>
      <x:c r="D90" s="6">
        <x:v>4</x:v>
      </x:c>
      <x:c r="E90" s="6">
        <x:v>100</x:v>
      </x:c>
      <x:c r="F90" s="6" t="n">
        <x:v>1</x:v>
      </x:c>
      <x:c r="G90" s="6" t="n">
        <x:v>21</x:v>
      </x:c>
      <x:c r="H90" s="10" t="n">
        <x:f>IF(OR(COUNT(G90)=0,COUNT(E90)=0,COUNT(F90)=0),"",G90*F90*1000/E90)</x:f>
        <x:v>210</x:v>
      </x:c>
      <x:c r="I90" s="10" t="n">
        <x:f>IF(OR(COUNT(E90)=0,COUNT(F90)=0),"",1000*F90/E90)</x:f>
        <x:v>10</x:v>
      </x:c>
      <x:c r="J90" s="13" t="str">
        <x:f t="shared" si="2">IF(OR(COUNT(H90)=0,COUNT(I90)=0),"",IF(H90&lt;=I90,"YES","no"))</x:f>
        <x:v>no</x:v>
      </x:c>
      <x:c r="K90" s="10" t="n">
        <x:f t="shared" si="3">IF(OR(COUNT(H90)=0,COUNT(I90)=0),"",LOG10(MAX(H90,I90)))</x:f>
        <x:v>2.32221929473392</x:v>
      </x:c>
    </x:row>
    <x:row r="91">
      <x:c r="A91" s="6" t="s">
        <x:v>94</x:v>
      </x:c>
      <x:c r="B91" s="6">
        <x:v>10</x:v>
      </x:c>
      <x:c r="C91" s="6">
        <x:v>1</x:v>
      </x:c>
      <x:c r="D91" s="6">
        <x:v>4</x:v>
      </x:c>
      <x:c r="E91" s="6">
        <x:v>10</x:v>
      </x:c>
      <x:c r="F91" s="6" t="n">
        <x:v>1</x:v>
      </x:c>
      <x:c r="G91" s="6" t="n">
        <x:v>5</x:v>
      </x:c>
      <x:c r="H91" s="10" t="n">
        <x:f>IF(OR(COUNT(G91)=0,COUNT(E91)=0,COUNT(F91)=0),"",G91*F91*1000/E91)</x:f>
        <x:v>500</x:v>
      </x:c>
      <x:c r="I91" s="10" t="n">
        <x:f>IF(OR(COUNT(E91)=0,COUNT(F91)=0),"",1000*F91/E91)</x:f>
        <x:v>100</x:v>
      </x:c>
      <x:c r="J91" s="13" t="str">
        <x:f t="shared" si="2">IF(OR(COUNT(H91)=0,COUNT(I91)=0),"",IF(H91&lt;=I91,"YES","no"))</x:f>
        <x:v>no</x:v>
      </x:c>
      <x:c r="K91" s="10" t="n">
        <x:f t="shared" si="3">IF(OR(COUNT(H91)=0,COUNT(I91)=0),"",LOG10(MAX(H91,I91)))</x:f>
        <x:v>2.69897000433602</x:v>
      </x:c>
    </x:row>
    <x:row r="92">
      <x:c r="A92" s="6" t="s">
        <x:v>94</x:v>
      </x:c>
      <x:c r="B92" s="6">
        <x:v>10</x:v>
      </x:c>
      <x:c r="C92" s="6">
        <x:v>1</x:v>
      </x:c>
      <x:c r="D92" s="6">
        <x:v>4</x:v>
      </x:c>
      <x:c r="E92" s="6">
        <x:v>10</x:v>
      </x:c>
      <x:c r="F92" s="6" t="n">
        <x:v>1</x:v>
      </x:c>
      <x:c r="G92" s="6" t="n">
        <x:v>4</x:v>
      </x:c>
      <x:c r="H92" s="10" t="n">
        <x:f>IF(OR(COUNT(G92)=0,COUNT(E92)=0,COUNT(F92)=0),"",G92*F92*1000/E92)</x:f>
        <x:v>400</x:v>
      </x:c>
      <x:c r="I92" s="10" t="n">
        <x:f>IF(OR(COUNT(E92)=0,COUNT(F92)=0),"",1000*F92/E92)</x:f>
        <x:v>100</x:v>
      </x:c>
      <x:c r="J92" s="13" t="str">
        <x:f t="shared" si="2">IF(OR(COUNT(H92)=0,COUNT(I92)=0),"",IF(H92&lt;=I92,"YES","no"))</x:f>
        <x:v>no</x:v>
      </x:c>
      <x:c r="K92" s="10" t="n">
        <x:f t="shared" si="3">IF(OR(COUNT(H92)=0,COUNT(I92)=0),"",LOG10(MAX(H92,I92)))</x:f>
        <x:v>2.60205999132796</x:v>
      </x:c>
    </x:row>
    <x:row r="93">
      <x:c r="A93" s="6" t="s">
        <x:v>94</x:v>
      </x:c>
      <x:c r="B93" s="6">
        <x:v>10</x:v>
      </x:c>
      <x:c r="C93" s="6">
        <x:v>1</x:v>
      </x:c>
      <x:c r="D93" s="6">
        <x:v>6</x:v>
      </x:c>
      <x:c r="E93" s="6">
        <x:v>100</x:v>
      </x:c>
      <x:c r="F93" s="6" t="n">
        <x:v>1</x:v>
      </x:c>
      <x:c r="G93" s="6" t="n">
        <x:v>6</x:v>
      </x:c>
      <x:c r="H93" s="10" t="n">
        <x:f>IF(OR(COUNT(G93)=0,COUNT(E93)=0,COUNT(F93)=0),"",G93*F93*1000/E93)</x:f>
        <x:v>60</x:v>
      </x:c>
      <x:c r="I93" s="10" t="n">
        <x:f>IF(OR(COUNT(E93)=0,COUNT(F93)=0),"",1000*F93/E93)</x:f>
        <x:v>10</x:v>
      </x:c>
      <x:c r="J93" s="13" t="str">
        <x:f t="shared" si="2">IF(OR(COUNT(H93)=0,COUNT(I93)=0),"",IF(H93&lt;=I93,"YES","no"))</x:f>
        <x:v>no</x:v>
      </x:c>
      <x:c r="K93" s="10" t="n">
        <x:f t="shared" si="3">IF(OR(COUNT(H93)=0,COUNT(I93)=0),"",LOG10(MAX(H93,I93)))</x:f>
        <x:v>1.77815125038364</x:v>
      </x:c>
    </x:row>
    <x:row r="94">
      <x:c r="A94" s="6" t="s">
        <x:v>94</x:v>
      </x:c>
      <x:c r="B94" s="6">
        <x:v>10</x:v>
      </x:c>
      <x:c r="C94" s="6">
        <x:v>1</x:v>
      </x:c>
      <x:c r="D94" s="6">
        <x:v>6</x:v>
      </x:c>
      <x:c r="E94" s="6">
        <x:v>100</x:v>
      </x:c>
      <x:c r="F94" s="6" t="n">
        <x:v>1</x:v>
      </x:c>
      <x:c r="G94" s="6" t="n">
        <x:v>10</x:v>
      </x:c>
      <x:c r="H94" s="10" t="n">
        <x:f>IF(OR(COUNT(G94)=0,COUNT(E94)=0,COUNT(F94)=0),"",G94*F94*1000/E94)</x:f>
        <x:v>100</x:v>
      </x:c>
      <x:c r="I94" s="10" t="n">
        <x:f>IF(OR(COUNT(E94)=0,COUNT(F94)=0),"",1000*F94/E94)</x:f>
        <x:v>10</x:v>
      </x:c>
      <x:c r="J94" s="13" t="str">
        <x:f t="shared" si="2">IF(OR(COUNT(H94)=0,COUNT(I94)=0),"",IF(H94&lt;=I94,"YES","no"))</x:f>
        <x:v>no</x:v>
      </x:c>
      <x:c r="K94" s="10" t="n">
        <x:f t="shared" si="3">IF(OR(COUNT(H94)=0,COUNT(I94)=0),"",LOG10(MAX(H94,I94)))</x:f>
        <x:v>2</x:v>
      </x:c>
    </x:row>
    <x:row r="95">
      <x:c r="A95" s="6" t="s">
        <x:v>94</x:v>
      </x:c>
      <x:c r="B95" s="6">
        <x:v>10</x:v>
      </x:c>
      <x:c r="C95" s="6">
        <x:v>1</x:v>
      </x:c>
      <x:c r="D95" s="6">
        <x:v>6</x:v>
      </x:c>
      <x:c r="E95" s="6">
        <x:v>10</x:v>
      </x:c>
      <x:c r="F95" s="6" t="n">
        <x:v>1</x:v>
      </x:c>
      <x:c r="G95" s="6" t="n">
        <x:v>1</x:v>
      </x:c>
      <x:c r="H95" s="10" t="n">
        <x:f>IF(OR(COUNT(G95)=0,COUNT(E95)=0,COUNT(F95)=0),"",G95*F95*1000/E95)</x:f>
        <x:v>100</x:v>
      </x:c>
      <x:c r="I95" s="10" t="n">
        <x:f>IF(OR(COUNT(E95)=0,COUNT(F95)=0),"",1000*F95/E95)</x:f>
        <x:v>100</x:v>
      </x:c>
      <x:c r="J95" s="13" t="str">
        <x:f t="shared" si="2">IF(OR(COUNT(H95)=0,COUNT(I95)=0),"",IF(H95&lt;=I95,"YES","no"))</x:f>
        <x:v>YES</x:v>
      </x:c>
      <x:c r="K95" s="10" t="n">
        <x:f t="shared" si="3">IF(OR(COUNT(H95)=0,COUNT(I95)=0),"",LOG10(MAX(H95,I95)))</x:f>
        <x:v>2</x:v>
      </x:c>
    </x:row>
    <x:row r="96">
      <x:c r="A96" s="6" t="s">
        <x:v>94</x:v>
      </x:c>
      <x:c r="B96" s="6">
        <x:v>10</x:v>
      </x:c>
      <x:c r="C96" s="6">
        <x:v>1</x:v>
      </x:c>
      <x:c r="D96" s="6">
        <x:v>6</x:v>
      </x:c>
      <x:c r="E96" s="6">
        <x:v>10</x:v>
      </x:c>
      <x:c r="F96" s="6" t="n">
        <x:v>1</x:v>
      </x:c>
      <x:c r="G96" s="6" t="n">
        <x:v>0</x:v>
      </x:c>
      <x:c r="H96" s="10" t="n">
        <x:f>IF(OR(COUNT(G96)=0,COUNT(E96)=0,COUNT(F96)=0),"",G96*F96*1000/E96)</x:f>
        <x:v>0</x:v>
      </x:c>
      <x:c r="I96" s="10" t="n">
        <x:f>IF(OR(COUNT(E96)=0,COUNT(F96)=0),"",1000*F96/E96)</x:f>
        <x:v>100</x:v>
      </x:c>
      <x:c r="J96" s="13" t="str">
        <x:f t="shared" si="2">IF(OR(COUNT(H96)=0,COUNT(I96)=0),"",IF(H96&lt;=I96,"YES","no"))</x:f>
        <x:v>YES</x:v>
      </x:c>
      <x:c r="K96" s="10" t="n">
        <x:f t="shared" si="3">IF(OR(COUNT(H96)=0,COUNT(I96)=0),"",LOG10(MAX(H96,I96)))</x:f>
        <x:v>2</x:v>
      </x:c>
    </x:row>
    <x:row r="97">
      <x:c r="A97" s="6" t="s">
        <x:v>94</x:v>
      </x:c>
      <x:c r="B97" s="6">
        <x:v>10</x:v>
      </x:c>
      <x:c r="C97" s="6">
        <x:v>1</x:v>
      </x:c>
      <x:c r="D97" s="6">
        <x:v>24</x:v>
      </x:c>
      <x:c r="E97" s="6">
        <x:v>100</x:v>
      </x:c>
      <x:c r="F97" s="6" t="n">
        <x:v>1</x:v>
      </x:c>
      <x:c r="G97" s="6" t="n">
        <x:v>1</x:v>
      </x:c>
      <x:c r="H97" s="10" t="n">
        <x:f>IF(OR(COUNT(G97)=0,COUNT(E97)=0,COUNT(F97)=0),"",G97*F97*1000/E97)</x:f>
        <x:v>10</x:v>
      </x:c>
      <x:c r="I97" s="10" t="n">
        <x:f>IF(OR(COUNT(E97)=0,COUNT(F97)=0),"",1000*F97/E97)</x:f>
        <x:v>10</x:v>
      </x:c>
      <x:c r="J97" s="13" t="str">
        <x:f t="shared" si="2">IF(OR(COUNT(H97)=0,COUNT(I97)=0),"",IF(H97&lt;=I97,"YES","no"))</x:f>
        <x:v>YES</x:v>
      </x:c>
      <x:c r="K97" s="10" t="n">
        <x:f t="shared" si="3">IF(OR(COUNT(H97)=0,COUNT(I97)=0),"",LOG10(MAX(H97,I97)))</x:f>
        <x:v>1</x:v>
      </x:c>
    </x:row>
    <x:row r="98">
      <x:c r="A98" s="6" t="s">
        <x:v>94</x:v>
      </x:c>
      <x:c r="B98" s="6">
        <x:v>10</x:v>
      </x:c>
      <x:c r="C98" s="6">
        <x:v>1</x:v>
      </x:c>
      <x:c r="D98" s="6">
        <x:v>24</x:v>
      </x:c>
      <x:c r="E98" s="6">
        <x:v>100</x:v>
      </x:c>
      <x:c r="F98" s="6" t="n">
        <x:v>1</x:v>
      </x:c>
      <x:c r="G98" s="6" t="n">
        <x:v>1</x:v>
      </x:c>
      <x:c r="H98" s="10" t="n">
        <x:f>IF(OR(COUNT(G98)=0,COUNT(E98)=0,COUNT(F98)=0),"",G98*F98*1000/E98)</x:f>
        <x:v>10</x:v>
      </x:c>
      <x:c r="I98" s="10" t="n">
        <x:f>IF(OR(COUNT(E98)=0,COUNT(F98)=0),"",1000*F98/E98)</x:f>
        <x:v>10</x:v>
      </x:c>
      <x:c r="J98" s="13" t="str">
        <x:f t="shared" si="2">IF(OR(COUNT(H98)=0,COUNT(I98)=0),"",IF(H98&lt;=I98,"YES","no"))</x:f>
        <x:v>YES</x:v>
      </x:c>
      <x:c r="K98" s="10" t="n">
        <x:f t="shared" si="3">IF(OR(COUNT(H98)=0,COUNT(I98)=0),"",LOG10(MAX(H98,I98)))</x:f>
        <x:v>1</x:v>
      </x:c>
    </x:row>
    <x:row r="99">
      <x:c r="A99" s="6" t="s">
        <x:v>94</x:v>
      </x:c>
      <x:c r="B99" s="6">
        <x:v>10</x:v>
      </x:c>
      <x:c r="C99" s="6">
        <x:v>1</x:v>
      </x:c>
      <x:c r="D99" s="6">
        <x:v>24</x:v>
      </x:c>
      <x:c r="E99" s="6">
        <x:v>10</x:v>
      </x:c>
      <x:c r="F99" s="6" t="n">
        <x:v>1</x:v>
      </x:c>
      <x:c r="G99" s="6" t="n">
        <x:v>0</x:v>
      </x:c>
      <x:c r="H99" s="10" t="n">
        <x:f>IF(OR(COUNT(G99)=0,COUNT(E99)=0,COUNT(F99)=0),"",G99*F99*1000/E99)</x:f>
        <x:v>0</x:v>
      </x:c>
      <x:c r="I99" s="10" t="n">
        <x:f>IF(OR(COUNT(E99)=0,COUNT(F99)=0),"",1000*F99/E99)</x:f>
        <x:v>100</x:v>
      </x:c>
      <x:c r="J99" s="13" t="str">
        <x:f t="shared" si="2">IF(OR(COUNT(H99)=0,COUNT(I99)=0),"",IF(H99&lt;=I99,"YES","no"))</x:f>
        <x:v>YES</x:v>
      </x:c>
      <x:c r="K99" s="10" t="n">
        <x:f t="shared" si="3">IF(OR(COUNT(H99)=0,COUNT(I99)=0),"",LOG10(MAX(H99,I99)))</x:f>
        <x:v>2</x:v>
      </x:c>
    </x:row>
    <x:row r="100">
      <x:c r="A100" s="6" t="s">
        <x:v>94</x:v>
      </x:c>
      <x:c r="B100" s="6">
        <x:v>10</x:v>
      </x:c>
      <x:c r="C100" s="6">
        <x:v>1</x:v>
      </x:c>
      <x:c r="D100" s="6">
        <x:v>24</x:v>
      </x:c>
      <x:c r="E100" s="6">
        <x:v>10</x:v>
      </x:c>
      <x:c r="F100" s="6" t="n">
        <x:v>1</x:v>
      </x:c>
      <x:c r="G100" s="6" t="n">
        <x:v>0</x:v>
      </x:c>
      <x:c r="H100" s="10" t="n">
        <x:f>IF(OR(COUNT(G100)=0,COUNT(E100)=0,COUNT(F100)=0),"",G100*F100*1000/E100)</x:f>
        <x:v>0</x:v>
      </x:c>
      <x:c r="I100" s="10" t="n">
        <x:f>IF(OR(COUNT(E100)=0,COUNT(F100)=0),"",1000*F100/E100)</x:f>
        <x:v>100</x:v>
      </x:c>
      <x:c r="J100" s="13" t="str">
        <x:f t="shared" si="2">IF(OR(COUNT(H100)=0,COUNT(I100)=0),"",IF(H100&lt;=I100,"YES","no"))</x:f>
        <x:v>YES</x:v>
      </x:c>
      <x:c r="K100" s="10" t="n">
        <x:f t="shared" si="3">IF(OR(COUNT(H100)=0,COUNT(I100)=0),"",LOG10(MAX(H100,I100)))</x:f>
        <x:v>2</x:v>
      </x:c>
    </x:row>
    <x:row r="101">
      <x:c r="A101" s="6" t="s">
        <x:v>94</x:v>
      </x:c>
      <x:c r="B101" s="6">
        <x:v>10</x:v>
      </x:c>
      <x:c r="C101" s="6">
        <x:v>2</x:v>
      </x:c>
      <x:c r="D101" s="6">
        <x:v>0</x:v>
      </x:c>
      <x:c r="E101" s="6">
        <x:v>100</x:v>
      </x:c>
      <x:c r="F101" s="6" t="n">
        <x:v>1000</x:v>
      </x:c>
      <x:c r="G101" s="6" t="n">
        <x:v>39</x:v>
      </x:c>
      <x:c r="H101" s="10" t="n">
        <x:f>IF(OR(COUNT(G101)=0,COUNT(E101)=0,COUNT(F101)=0),"",G101*F101*1000/E101)</x:f>
        <x:v>390000</x:v>
      </x:c>
      <x:c r="I101" s="10" t="n">
        <x:f>IF(OR(COUNT(E101)=0,COUNT(F101)=0),"",1000*F101/E101)</x:f>
        <x:v>10000</x:v>
      </x:c>
      <x:c r="J101" s="13" t="str">
        <x:f t="shared" si="2">IF(OR(COUNT(H101)=0,COUNT(I101)=0),"",IF(H101&lt;=I101,"YES","no"))</x:f>
        <x:v>no</x:v>
      </x:c>
      <x:c r="K101" s="10" t="n">
        <x:f t="shared" si="3">IF(OR(COUNT(H101)=0,COUNT(I101)=0),"",LOG10(MAX(H101,I101)))</x:f>
        <x:v>5.5910646070265</x:v>
      </x:c>
    </x:row>
    <x:row r="102">
      <x:c r="A102" s="6" t="s">
        <x:v>94</x:v>
      </x:c>
      <x:c r="B102" s="6">
        <x:v>10</x:v>
      </x:c>
      <x:c r="C102" s="6">
        <x:v>2</x:v>
      </x:c>
      <x:c r="D102" s="6">
        <x:v>0</x:v>
      </x:c>
      <x:c r="E102" s="6">
        <x:v>100</x:v>
      </x:c>
      <x:c r="F102" s="6" t="n">
        <x:v>1000</x:v>
      </x:c>
      <x:c r="G102" s="6" t="n">
        <x:v>37</x:v>
      </x:c>
      <x:c r="H102" s="10" t="n">
        <x:f>IF(OR(COUNT(G102)=0,COUNT(E102)=0,COUNT(F102)=0),"",G102*F102*1000/E102)</x:f>
        <x:v>370000</x:v>
      </x:c>
      <x:c r="I102" s="10" t="n">
        <x:f>IF(OR(COUNT(E102)=0,COUNT(F102)=0),"",1000*F102/E102)</x:f>
        <x:v>10000</x:v>
      </x:c>
      <x:c r="J102" s="13" t="str">
        <x:f t="shared" si="2">IF(OR(COUNT(H102)=0,COUNT(I102)=0),"",IF(H102&lt;=I102,"YES","no"))</x:f>
        <x:v>no</x:v>
      </x:c>
      <x:c r="K102" s="10" t="n">
        <x:f t="shared" si="3">IF(OR(COUNT(H102)=0,COUNT(I102)=0),"",LOG10(MAX(H102,I102)))</x:f>
        <x:v>5.56820172406699</x:v>
      </x:c>
    </x:row>
    <x:row r="103">
      <x:c r="A103" s="6" t="s">
        <x:v>94</x:v>
      </x:c>
      <x:c r="B103" s="6">
        <x:v>10</x:v>
      </x:c>
      <x:c r="C103" s="6">
        <x:v>2</x:v>
      </x:c>
      <x:c r="D103" s="6">
        <x:v>0</x:v>
      </x:c>
      <x:c r="E103" s="6">
        <x:v>10</x:v>
      </x:c>
      <x:c r="F103" s="6" t="n">
        <x:v>100</x:v>
      </x:c>
      <x:c r="G103" s="6" t="n">
        <x:v>29</x:v>
      </x:c>
      <x:c r="H103" s="10" t="n">
        <x:f>IF(OR(COUNT(G103)=0,COUNT(E103)=0,COUNT(F103)=0),"",G103*F103*1000/E103)</x:f>
        <x:v>290000</x:v>
      </x:c>
      <x:c r="I103" s="10" t="n">
        <x:f>IF(OR(COUNT(E103)=0,COUNT(F103)=0),"",1000*F103/E103)</x:f>
        <x:v>10000</x:v>
      </x:c>
      <x:c r="J103" s="13" t="str">
        <x:f t="shared" si="2">IF(OR(COUNT(H103)=0,COUNT(I103)=0),"",IF(H103&lt;=I103,"YES","no"))</x:f>
        <x:v>no</x:v>
      </x:c>
      <x:c r="K103" s="10" t="n">
        <x:f t="shared" si="3">IF(OR(COUNT(H103)=0,COUNT(I103)=0),"",LOG10(MAX(H103,I103)))</x:f>
        <x:v>5.46239799789896</x:v>
      </x:c>
    </x:row>
    <x:row r="104">
      <x:c r="A104" s="6" t="s">
        <x:v>94</x:v>
      </x:c>
      <x:c r="B104" s="6">
        <x:v>10</x:v>
      </x:c>
      <x:c r="C104" s="6">
        <x:v>2</x:v>
      </x:c>
      <x:c r="D104" s="6">
        <x:v>0</x:v>
      </x:c>
      <x:c r="E104" s="6">
        <x:v>10</x:v>
      </x:c>
      <x:c r="F104" s="6" t="n">
        <x:v>100</x:v>
      </x:c>
      <x:c r="G104" s="6" t="n">
        <x:v>39</x:v>
      </x:c>
      <x:c r="H104" s="10" t="n">
        <x:f>IF(OR(COUNT(G104)=0,COUNT(E104)=0,COUNT(F104)=0),"",G104*F104*1000/E104)</x:f>
        <x:v>390000</x:v>
      </x:c>
      <x:c r="I104" s="10" t="n">
        <x:f>IF(OR(COUNT(E104)=0,COUNT(F104)=0),"",1000*F104/E104)</x:f>
        <x:v>10000</x:v>
      </x:c>
      <x:c r="J104" s="13" t="str">
        <x:f t="shared" si="2">IF(OR(COUNT(H104)=0,COUNT(I104)=0),"",IF(H104&lt;=I104,"YES","no"))</x:f>
        <x:v>no</x:v>
      </x:c>
      <x:c r="K104" s="10" t="n">
        <x:f t="shared" si="3">IF(OR(COUNT(H104)=0,COUNT(I104)=0),"",LOG10(MAX(H104,I104)))</x:f>
        <x:v>5.5910646070265</x:v>
      </x:c>
    </x:row>
    <x:row r="105">
      <x:c r="A105" s="6" t="s">
        <x:v>94</x:v>
      </x:c>
      <x:c r="B105" s="6">
        <x:v>10</x:v>
      </x:c>
      <x:c r="C105" s="6">
        <x:v>2</x:v>
      </x:c>
      <x:c r="D105" s="6">
        <x:v>1</x:v>
      </x:c>
      <x:c r="E105" s="6">
        <x:v>100</x:v>
      </x:c>
      <x:c r="F105" s="6" t="n">
        <x:v>10</x:v>
      </x:c>
      <x:c r="G105" s="6" t="n">
        <x:v>255</x:v>
      </x:c>
      <x:c r="H105" s="10" t="n">
        <x:f>IF(OR(COUNT(G105)=0,COUNT(E105)=0,COUNT(F105)=0),"",G105*F105*1000/E105)</x:f>
        <x:v>25500</x:v>
      </x:c>
      <x:c r="I105" s="10" t="n">
        <x:f>IF(OR(COUNT(E105)=0,COUNT(F105)=0),"",1000*F105/E105)</x:f>
        <x:v>100</x:v>
      </x:c>
      <x:c r="J105" s="13" t="str">
        <x:f t="shared" si="2">IF(OR(COUNT(H105)=0,COUNT(I105)=0),"",IF(H105&lt;=I105,"YES","no"))</x:f>
        <x:v>no</x:v>
      </x:c>
      <x:c r="K105" s="10" t="n">
        <x:f t="shared" si="3">IF(OR(COUNT(H105)=0,COUNT(I105)=0),"",LOG10(MAX(H105,I105)))</x:f>
        <x:v>4.40654018043395</x:v>
      </x:c>
    </x:row>
    <x:row r="106">
      <x:c r="A106" s="6" t="s">
        <x:v>94</x:v>
      </x:c>
      <x:c r="B106" s="6">
        <x:v>10</x:v>
      </x:c>
      <x:c r="C106" s="6">
        <x:v>2</x:v>
      </x:c>
      <x:c r="D106" s="6">
        <x:v>1</x:v>
      </x:c>
      <x:c r="E106" s="6">
        <x:v>100</x:v>
      </x:c>
      <x:c r="F106" s="6" t="n">
        <x:v>10</x:v>
      </x:c>
      <x:c r="G106" s="6" t="n">
        <x:v>296</x:v>
      </x:c>
      <x:c r="H106" s="10" t="n">
        <x:f>IF(OR(COUNT(G106)=0,COUNT(E106)=0,COUNT(F106)=0),"",G106*F106*1000/E106)</x:f>
        <x:v>29600</x:v>
      </x:c>
      <x:c r="I106" s="10" t="n">
        <x:f>IF(OR(COUNT(E106)=0,COUNT(F106)=0),"",1000*F106/E106)</x:f>
        <x:v>100</x:v>
      </x:c>
      <x:c r="J106" s="13" t="str">
        <x:f t="shared" si="2">IF(OR(COUNT(H106)=0,COUNT(I106)=0),"",IF(H106&lt;=I106,"YES","no"))</x:f>
        <x:v>no</x:v>
      </x:c>
      <x:c r="K106" s="10" t="n">
        <x:f t="shared" si="3">IF(OR(COUNT(H106)=0,COUNT(I106)=0),"",LOG10(MAX(H106,I106)))</x:f>
        <x:v>4.47129171105894</x:v>
      </x:c>
    </x:row>
    <x:row r="107">
      <x:c r="A107" s="6" t="s">
        <x:v>94</x:v>
      </x:c>
      <x:c r="B107" s="6">
        <x:v>10</x:v>
      </x:c>
      <x:c r="C107" s="6">
        <x:v>2</x:v>
      </x:c>
      <x:c r="D107" s="6">
        <x:v>1</x:v>
      </x:c>
      <x:c r="E107" s="6">
        <x:v>10</x:v>
      </x:c>
      <x:c r="F107" s="6" t="n">
        <x:v>1</x:v>
      </x:c>
      <x:c r="G107" s="6" t="n">
        <x:v>263</x:v>
      </x:c>
      <x:c r="H107" s="10" t="n">
        <x:f>IF(OR(COUNT(G107)=0,COUNT(E107)=0,COUNT(F107)=0),"",G107*F107*1000/E107)</x:f>
        <x:v>26300</x:v>
      </x:c>
      <x:c r="I107" s="10" t="n">
        <x:f>IF(OR(COUNT(E107)=0,COUNT(F107)=0),"",1000*F107/E107)</x:f>
        <x:v>100</x:v>
      </x:c>
      <x:c r="J107" s="13" t="str">
        <x:f t="shared" si="2">IF(OR(COUNT(H107)=0,COUNT(I107)=0),"",IF(H107&lt;=I107,"YES","no"))</x:f>
        <x:v>no</x:v>
      </x:c>
      <x:c r="K107" s="10" t="n">
        <x:f t="shared" si="3">IF(OR(COUNT(H107)=0,COUNT(I107)=0),"",LOG10(MAX(H107,I107)))</x:f>
        <x:v>4.41995574848976</x:v>
      </x:c>
    </x:row>
    <x:row r="108">
      <x:c r="A108" s="6" t="s">
        <x:v>94</x:v>
      </x:c>
      <x:c r="B108" s="6">
        <x:v>10</x:v>
      </x:c>
      <x:c r="C108" s="6">
        <x:v>2</x:v>
      </x:c>
      <x:c r="D108" s="6">
        <x:v>1</x:v>
      </x:c>
      <x:c r="E108" s="6">
        <x:v>10</x:v>
      </x:c>
      <x:c r="F108" s="6" t="n">
        <x:v>1</x:v>
      </x:c>
      <x:c r="G108" s="6" t="n">
        <x:v>176</x:v>
      </x:c>
      <x:c r="H108" s="10" t="n">
        <x:f>IF(OR(COUNT(G108)=0,COUNT(E108)=0,COUNT(F108)=0),"",G108*F108*1000/E108)</x:f>
        <x:v>17600</x:v>
      </x:c>
      <x:c r="I108" s="10" t="n">
        <x:f>IF(OR(COUNT(E108)=0,COUNT(F108)=0),"",1000*F108/E108)</x:f>
        <x:v>100</x:v>
      </x:c>
      <x:c r="J108" s="13" t="str">
        <x:f t="shared" si="2">IF(OR(COUNT(H108)=0,COUNT(I108)=0),"",IF(H108&lt;=I108,"YES","no"))</x:f>
        <x:v>no</x:v>
      </x:c>
      <x:c r="K108" s="10" t="n">
        <x:f t="shared" si="3">IF(OR(COUNT(H108)=0,COUNT(I108)=0),"",LOG10(MAX(H108,I108)))</x:f>
        <x:v>4.24551266781415</x:v>
      </x:c>
    </x:row>
    <x:row r="109">
      <x:c r="A109" s="6" t="s">
        <x:v>94</x:v>
      </x:c>
      <x:c r="B109" s="6">
        <x:v>10</x:v>
      </x:c>
      <x:c r="C109" s="6">
        <x:v>2</x:v>
      </x:c>
      <x:c r="D109" s="6">
        <x:v>2</x:v>
      </x:c>
      <x:c r="E109" s="6">
        <x:v>100</x:v>
      </x:c>
      <x:c r="F109" s="6" t="n">
        <x:v>1</x:v>
      </x:c>
      <x:c r="G109" s="6" t="n">
        <x:v>132</x:v>
      </x:c>
      <x:c r="H109" s="10" t="n">
        <x:f>IF(OR(COUNT(G109)=0,COUNT(E109)=0,COUNT(F109)=0),"",G109*F109*1000/E109)</x:f>
        <x:v>1320</x:v>
      </x:c>
      <x:c r="I109" s="10" t="n">
        <x:f>IF(OR(COUNT(E109)=0,COUNT(F109)=0),"",1000*F109/E109)</x:f>
        <x:v>10</x:v>
      </x:c>
      <x:c r="J109" s="13" t="str">
        <x:f t="shared" si="2">IF(OR(COUNT(H109)=0,COUNT(I109)=0),"",IF(H109&lt;=I109,"YES","no"))</x:f>
        <x:v>no</x:v>
      </x:c>
      <x:c r="K109" s="10" t="n">
        <x:f t="shared" si="3">IF(OR(COUNT(H109)=0,COUNT(I109)=0),"",LOG10(MAX(H109,I109)))</x:f>
        <x:v>3.12057393120585</x:v>
      </x:c>
    </x:row>
    <x:row r="110">
      <x:c r="A110" s="6" t="s">
        <x:v>94</x:v>
      </x:c>
      <x:c r="B110" s="6">
        <x:v>10</x:v>
      </x:c>
      <x:c r="C110" s="6">
        <x:v>2</x:v>
      </x:c>
      <x:c r="D110" s="6">
        <x:v>2</x:v>
      </x:c>
      <x:c r="E110" s="6">
        <x:v>100</x:v>
      </x:c>
      <x:c r="F110" s="6" t="n">
        <x:v>1</x:v>
      </x:c>
      <x:c r="G110" s="6" t="n">
        <x:v>165</x:v>
      </x:c>
      <x:c r="H110" s="10" t="n">
        <x:f>IF(OR(COUNT(G110)=0,COUNT(E110)=0,COUNT(F110)=0),"",G110*F110*1000/E110)</x:f>
        <x:v>1650</x:v>
      </x:c>
      <x:c r="I110" s="10" t="n">
        <x:f>IF(OR(COUNT(E110)=0,COUNT(F110)=0),"",1000*F110/E110)</x:f>
        <x:v>10</x:v>
      </x:c>
      <x:c r="J110" s="13" t="str">
        <x:f t="shared" si="2">IF(OR(COUNT(H110)=0,COUNT(I110)=0),"",IF(H110&lt;=I110,"YES","no"))</x:f>
        <x:v>no</x:v>
      </x:c>
      <x:c r="K110" s="10" t="n">
        <x:f t="shared" si="3">IF(OR(COUNT(H110)=0,COUNT(I110)=0),"",LOG10(MAX(H110,I110)))</x:f>
        <x:v>3.21748394421391</x:v>
      </x:c>
    </x:row>
    <x:row r="111">
      <x:c r="A111" s="6" t="s">
        <x:v>94</x:v>
      </x:c>
      <x:c r="B111" s="6">
        <x:v>10</x:v>
      </x:c>
      <x:c r="C111" s="6">
        <x:v>2</x:v>
      </x:c>
      <x:c r="D111" s="6">
        <x:v>2</x:v>
      </x:c>
      <x:c r="E111" s="6">
        <x:v>10</x:v>
      </x:c>
      <x:c r="F111" s="6" t="n">
        <x:v>1</x:v>
      </x:c>
      <x:c r="G111" s="6" t="n">
        <x:v>20</x:v>
      </x:c>
      <x:c r="H111" s="10" t="n">
        <x:f>IF(OR(COUNT(G111)=0,COUNT(E111)=0,COUNT(F111)=0),"",G111*F111*1000/E111)</x:f>
        <x:v>2000</x:v>
      </x:c>
      <x:c r="I111" s="10" t="n">
        <x:f>IF(OR(COUNT(E111)=0,COUNT(F111)=0),"",1000*F111/E111)</x:f>
        <x:v>100</x:v>
      </x:c>
      <x:c r="J111" s="13" t="str">
        <x:f t="shared" si="2">IF(OR(COUNT(H111)=0,COUNT(I111)=0),"",IF(H111&lt;=I111,"YES","no"))</x:f>
        <x:v>no</x:v>
      </x:c>
      <x:c r="K111" s="10" t="n">
        <x:f t="shared" si="3">IF(OR(COUNT(H111)=0,COUNT(I111)=0),"",LOG10(MAX(H111,I111)))</x:f>
        <x:v>3.30102999566398</x:v>
      </x:c>
    </x:row>
    <x:row r="112">
      <x:c r="A112" s="6" t="s">
        <x:v>94</x:v>
      </x:c>
      <x:c r="B112" s="6">
        <x:v>10</x:v>
      </x:c>
      <x:c r="C112" s="6">
        <x:v>2</x:v>
      </x:c>
      <x:c r="D112" s="6">
        <x:v>2</x:v>
      </x:c>
      <x:c r="E112" s="6">
        <x:v>10</x:v>
      </x:c>
      <x:c r="F112" s="6" t="n">
        <x:v>1</x:v>
      </x:c>
      <x:c r="G112" s="6" t="n">
        <x:v>8</x:v>
      </x:c>
      <x:c r="H112" s="10" t="n">
        <x:f>IF(OR(COUNT(G112)=0,COUNT(E112)=0,COUNT(F112)=0),"",G112*F112*1000/E112)</x:f>
        <x:v>800</x:v>
      </x:c>
      <x:c r="I112" s="10" t="n">
        <x:f>IF(OR(COUNT(E112)=0,COUNT(F112)=0),"",1000*F112/E112)</x:f>
        <x:v>100</x:v>
      </x:c>
      <x:c r="J112" s="13" t="str">
        <x:f t="shared" si="2">IF(OR(COUNT(H112)=0,COUNT(I112)=0),"",IF(H112&lt;=I112,"YES","no"))</x:f>
        <x:v>no</x:v>
      </x:c>
      <x:c r="K112" s="10" t="n">
        <x:f t="shared" si="3">IF(OR(COUNT(H112)=0,COUNT(I112)=0),"",LOG10(MAX(H112,I112)))</x:f>
        <x:v>2.90308998699194</x:v>
      </x:c>
    </x:row>
    <x:row r="113">
      <x:c r="A113" s="6" t="s">
        <x:v>94</x:v>
      </x:c>
      <x:c r="B113" s="6">
        <x:v>10</x:v>
      </x:c>
      <x:c r="C113" s="6">
        <x:v>2</x:v>
      </x:c>
      <x:c r="D113" s="6">
        <x:v>4</x:v>
      </x:c>
      <x:c r="E113" s="6">
        <x:v>100</x:v>
      </x:c>
      <x:c r="F113" s="6" t="n">
        <x:v>1</x:v>
      </x:c>
      <x:c r="G113" s="6" t="n">
        <x:v>17</x:v>
      </x:c>
      <x:c r="H113" s="10" t="n">
        <x:f>IF(OR(COUNT(G113)=0,COUNT(E113)=0,COUNT(F113)=0),"",G113*F113*1000/E113)</x:f>
        <x:v>170</x:v>
      </x:c>
      <x:c r="I113" s="10" t="n">
        <x:f>IF(OR(COUNT(E113)=0,COUNT(F113)=0),"",1000*F113/E113)</x:f>
        <x:v>10</x:v>
      </x:c>
      <x:c r="J113" s="13" t="str">
        <x:f t="shared" si="2">IF(OR(COUNT(H113)=0,COUNT(I113)=0),"",IF(H113&lt;=I113,"YES","no"))</x:f>
        <x:v>no</x:v>
      </x:c>
      <x:c r="K113" s="10" t="n">
        <x:f t="shared" si="3">IF(OR(COUNT(H113)=0,COUNT(I113)=0),"",LOG10(MAX(H113,I113)))</x:f>
        <x:v>2.23044892137827</x:v>
      </x:c>
    </x:row>
    <x:row r="114">
      <x:c r="A114" s="6" t="s">
        <x:v>94</x:v>
      </x:c>
      <x:c r="B114" s="6">
        <x:v>10</x:v>
      </x:c>
      <x:c r="C114" s="6">
        <x:v>2</x:v>
      </x:c>
      <x:c r="D114" s="6">
        <x:v>4</x:v>
      </x:c>
      <x:c r="E114" s="6">
        <x:v>100</x:v>
      </x:c>
      <x:c r="F114" s="6" t="n">
        <x:v>1</x:v>
      </x:c>
      <x:c r="G114" s="6" t="n">
        <x:v>16</x:v>
      </x:c>
      <x:c r="H114" s="10" t="n">
        <x:f>IF(OR(COUNT(G114)=0,COUNT(E114)=0,COUNT(F114)=0),"",G114*F114*1000/E114)</x:f>
        <x:v>160</x:v>
      </x:c>
      <x:c r="I114" s="10" t="n">
        <x:f>IF(OR(COUNT(E114)=0,COUNT(F114)=0),"",1000*F114/E114)</x:f>
        <x:v>10</x:v>
      </x:c>
      <x:c r="J114" s="13" t="str">
        <x:f t="shared" si="2">IF(OR(COUNT(H114)=0,COUNT(I114)=0),"",IF(H114&lt;=I114,"YES","no"))</x:f>
        <x:v>no</x:v>
      </x:c>
      <x:c r="K114" s="10" t="n">
        <x:f t="shared" si="3">IF(OR(COUNT(H114)=0,COUNT(I114)=0),"",LOG10(MAX(H114,I114)))</x:f>
        <x:v>2.20411998265592</x:v>
      </x:c>
    </x:row>
    <x:row r="115">
      <x:c r="A115" s="6" t="s">
        <x:v>94</x:v>
      </x:c>
      <x:c r="B115" s="6">
        <x:v>10</x:v>
      </x:c>
      <x:c r="C115" s="6">
        <x:v>2</x:v>
      </x:c>
      <x:c r="D115" s="6">
        <x:v>4</x:v>
      </x:c>
      <x:c r="E115" s="6">
        <x:v>10</x:v>
      </x:c>
      <x:c r="F115" s="6" t="n">
        <x:v>1</x:v>
      </x:c>
      <x:c r="G115" s="6" t="n">
        <x:v>6</x:v>
      </x:c>
      <x:c r="H115" s="10" t="n">
        <x:f>IF(OR(COUNT(G115)=0,COUNT(E115)=0,COUNT(F115)=0),"",G115*F115*1000/E115)</x:f>
        <x:v>600</x:v>
      </x:c>
      <x:c r="I115" s="10" t="n">
        <x:f>IF(OR(COUNT(E115)=0,COUNT(F115)=0),"",1000*F115/E115)</x:f>
        <x:v>100</x:v>
      </x:c>
      <x:c r="J115" s="13" t="str">
        <x:f t="shared" si="2">IF(OR(COUNT(H115)=0,COUNT(I115)=0),"",IF(H115&lt;=I115,"YES","no"))</x:f>
        <x:v>no</x:v>
      </x:c>
      <x:c r="K115" s="10" t="n">
        <x:f t="shared" si="3">IF(OR(COUNT(H115)=0,COUNT(I115)=0),"",LOG10(MAX(H115,I115)))</x:f>
        <x:v>2.77815125038364</x:v>
      </x:c>
    </x:row>
    <x:row r="116">
      <x:c r="A116" s="6" t="s">
        <x:v>94</x:v>
      </x:c>
      <x:c r="B116" s="6">
        <x:v>10</x:v>
      </x:c>
      <x:c r="C116" s="6">
        <x:v>2</x:v>
      </x:c>
      <x:c r="D116" s="6">
        <x:v>4</x:v>
      </x:c>
      <x:c r="E116" s="6">
        <x:v>10</x:v>
      </x:c>
      <x:c r="F116" s="6" t="n">
        <x:v>1</x:v>
      </x:c>
      <x:c r="G116" s="6" t="n">
        <x:v>2</x:v>
      </x:c>
      <x:c r="H116" s="10" t="n">
        <x:f>IF(OR(COUNT(G116)=0,COUNT(E116)=0,COUNT(F116)=0),"",G116*F116*1000/E116)</x:f>
        <x:v>200</x:v>
      </x:c>
      <x:c r="I116" s="10" t="n">
        <x:f>IF(OR(COUNT(E116)=0,COUNT(F116)=0),"",1000*F116/E116)</x:f>
        <x:v>100</x:v>
      </x:c>
      <x:c r="J116" s="13" t="str">
        <x:f t="shared" si="2">IF(OR(COUNT(H116)=0,COUNT(I116)=0),"",IF(H116&lt;=I116,"YES","no"))</x:f>
        <x:v>no</x:v>
      </x:c>
      <x:c r="K116" s="10" t="n">
        <x:f t="shared" si="3">IF(OR(COUNT(H116)=0,COUNT(I116)=0),"",LOG10(MAX(H116,I116)))</x:f>
        <x:v>2.30102999566398</x:v>
      </x:c>
    </x:row>
    <x:row r="117">
      <x:c r="A117" s="6" t="s">
        <x:v>94</x:v>
      </x:c>
      <x:c r="B117" s="6">
        <x:v>10</x:v>
      </x:c>
      <x:c r="C117" s="6">
        <x:v>2</x:v>
      </x:c>
      <x:c r="D117" s="6">
        <x:v>6</x:v>
      </x:c>
      <x:c r="E117" s="6">
        <x:v>100</x:v>
      </x:c>
      <x:c r="F117" s="6" t="n">
        <x:v>1</x:v>
      </x:c>
      <x:c r="G117" s="6" t="n">
        <x:v>7</x:v>
      </x:c>
      <x:c r="H117" s="10" t="n">
        <x:f>IF(OR(COUNT(G117)=0,COUNT(E117)=0,COUNT(F117)=0),"",G117*F117*1000/E117)</x:f>
        <x:v>70</x:v>
      </x:c>
      <x:c r="I117" s="10" t="n">
        <x:f>IF(OR(COUNT(E117)=0,COUNT(F117)=0),"",1000*F117/E117)</x:f>
        <x:v>10</x:v>
      </x:c>
      <x:c r="J117" s="13" t="str">
        <x:f t="shared" si="2">IF(OR(COUNT(H117)=0,COUNT(I117)=0),"",IF(H117&lt;=I117,"YES","no"))</x:f>
        <x:v>no</x:v>
      </x:c>
      <x:c r="K117" s="10" t="n">
        <x:f t="shared" si="3">IF(OR(COUNT(H117)=0,COUNT(I117)=0),"",LOG10(MAX(H117,I117)))</x:f>
        <x:v>1.84509804001426</x:v>
      </x:c>
    </x:row>
    <x:row r="118">
      <x:c r="A118" s="6" t="s">
        <x:v>94</x:v>
      </x:c>
      <x:c r="B118" s="6">
        <x:v>10</x:v>
      </x:c>
      <x:c r="C118" s="6">
        <x:v>2</x:v>
      </x:c>
      <x:c r="D118" s="6">
        <x:v>6</x:v>
      </x:c>
      <x:c r="E118" s="6">
        <x:v>100</x:v>
      </x:c>
      <x:c r="F118" s="6" t="n">
        <x:v>1</x:v>
      </x:c>
      <x:c r="G118" s="6" t="n">
        <x:v>5</x:v>
      </x:c>
      <x:c r="H118" s="10" t="n">
        <x:f>IF(OR(COUNT(G118)=0,COUNT(E118)=0,COUNT(F118)=0),"",G118*F118*1000/E118)</x:f>
        <x:v>50</x:v>
      </x:c>
      <x:c r="I118" s="10" t="n">
        <x:f>IF(OR(COUNT(E118)=0,COUNT(F118)=0),"",1000*F118/E118)</x:f>
        <x:v>10</x:v>
      </x:c>
      <x:c r="J118" s="13" t="str">
        <x:f t="shared" si="2">IF(OR(COUNT(H118)=0,COUNT(I118)=0),"",IF(H118&lt;=I118,"YES","no"))</x:f>
        <x:v>no</x:v>
      </x:c>
      <x:c r="K118" s="10" t="n">
        <x:f t="shared" si="3">IF(OR(COUNT(H118)=0,COUNT(I118)=0),"",LOG10(MAX(H118,I118)))</x:f>
        <x:v>1.69897000433602</x:v>
      </x:c>
    </x:row>
    <x:row r="119">
      <x:c r="A119" s="6" t="s">
        <x:v>94</x:v>
      </x:c>
      <x:c r="B119" s="6">
        <x:v>10</x:v>
      </x:c>
      <x:c r="C119" s="6">
        <x:v>2</x:v>
      </x:c>
      <x:c r="D119" s="6">
        <x:v>6</x:v>
      </x:c>
      <x:c r="E119" s="6">
        <x:v>10</x:v>
      </x:c>
      <x:c r="F119" s="6" t="n">
        <x:v>1</x:v>
      </x:c>
      <x:c r="G119" s="6" t="n">
        <x:v>2</x:v>
      </x:c>
      <x:c r="H119" s="10" t="n">
        <x:f>IF(OR(COUNT(G119)=0,COUNT(E119)=0,COUNT(F119)=0),"",G119*F119*1000/E119)</x:f>
        <x:v>200</x:v>
      </x:c>
      <x:c r="I119" s="10" t="n">
        <x:f>IF(OR(COUNT(E119)=0,COUNT(F119)=0),"",1000*F119/E119)</x:f>
        <x:v>100</x:v>
      </x:c>
      <x:c r="J119" s="13" t="str">
        <x:f t="shared" si="2">IF(OR(COUNT(H119)=0,COUNT(I119)=0),"",IF(H119&lt;=I119,"YES","no"))</x:f>
        <x:v>no</x:v>
      </x:c>
      <x:c r="K119" s="10" t="n">
        <x:f t="shared" si="3">IF(OR(COUNT(H119)=0,COUNT(I119)=0),"",LOG10(MAX(H119,I119)))</x:f>
        <x:v>2.30102999566398</x:v>
      </x:c>
    </x:row>
    <x:row r="120">
      <x:c r="A120" s="6" t="s">
        <x:v>94</x:v>
      </x:c>
      <x:c r="B120" s="6">
        <x:v>10</x:v>
      </x:c>
      <x:c r="C120" s="6">
        <x:v>2</x:v>
      </x:c>
      <x:c r="D120" s="6">
        <x:v>6</x:v>
      </x:c>
      <x:c r="E120" s="6">
        <x:v>10</x:v>
      </x:c>
      <x:c r="F120" s="6" t="n">
        <x:v>1</x:v>
      </x:c>
      <x:c r="G120" s="6" t="n">
        <x:v>1</x:v>
      </x:c>
      <x:c r="H120" s="10" t="n">
        <x:f>IF(OR(COUNT(G120)=0,COUNT(E120)=0,COUNT(F120)=0),"",G120*F120*1000/E120)</x:f>
        <x:v>100</x:v>
      </x:c>
      <x:c r="I120" s="10" t="n">
        <x:f>IF(OR(COUNT(E120)=0,COUNT(F120)=0),"",1000*F120/E120)</x:f>
        <x:v>100</x:v>
      </x:c>
      <x:c r="J120" s="13" t="str">
        <x:f t="shared" si="2">IF(OR(COUNT(H120)=0,COUNT(I120)=0),"",IF(H120&lt;=I120,"YES","no"))</x:f>
        <x:v>YES</x:v>
      </x:c>
      <x:c r="K120" s="10" t="n">
        <x:f t="shared" si="3">IF(OR(COUNT(H120)=0,COUNT(I120)=0),"",LOG10(MAX(H120,I120)))</x:f>
        <x:v>2</x:v>
      </x:c>
    </x:row>
    <x:row r="121">
      <x:c r="A121" s="6" t="s">
        <x:v>94</x:v>
      </x:c>
      <x:c r="B121" s="6">
        <x:v>10</x:v>
      </x:c>
      <x:c r="C121" s="6">
        <x:v>2</x:v>
      </x:c>
      <x:c r="D121" s="6">
        <x:v>24</x:v>
      </x:c>
      <x:c r="E121" s="6">
        <x:v>100</x:v>
      </x:c>
      <x:c r="F121" s="6" t="n">
        <x:v>1</x:v>
      </x:c>
      <x:c r="G121" s="6" t="n">
        <x:v>0</x:v>
      </x:c>
      <x:c r="H121" s="10" t="n">
        <x:f>IF(OR(COUNT(G121)=0,COUNT(E121)=0,COUNT(F121)=0),"",G121*F121*1000/E121)</x:f>
        <x:v>0</x:v>
      </x:c>
      <x:c r="I121" s="10" t="n">
        <x:f>IF(OR(COUNT(E121)=0,COUNT(F121)=0),"",1000*F121/E121)</x:f>
        <x:v>10</x:v>
      </x:c>
      <x:c r="J121" s="13" t="str">
        <x:f t="shared" si="2">IF(OR(COUNT(H121)=0,COUNT(I121)=0),"",IF(H121&lt;=I121,"YES","no"))</x:f>
        <x:v>YES</x:v>
      </x:c>
      <x:c r="K121" s="10" t="n">
        <x:f t="shared" si="3">IF(OR(COUNT(H121)=0,COUNT(I121)=0),"",LOG10(MAX(H121,I121)))</x:f>
        <x:v>1</x:v>
      </x:c>
    </x:row>
    <x:row r="122">
      <x:c r="A122" s="6" t="s">
        <x:v>94</x:v>
      </x:c>
      <x:c r="B122" s="6">
        <x:v>10</x:v>
      </x:c>
      <x:c r="C122" s="6">
        <x:v>2</x:v>
      </x:c>
      <x:c r="D122" s="6">
        <x:v>24</x:v>
      </x:c>
      <x:c r="E122" s="6">
        <x:v>100</x:v>
      </x:c>
      <x:c r="F122" s="6" t="n">
        <x:v>1</x:v>
      </x:c>
      <x:c r="G122" s="6" t="n">
        <x:v>0</x:v>
      </x:c>
      <x:c r="H122" s="10" t="n">
        <x:f>IF(OR(COUNT(G122)=0,COUNT(E122)=0,COUNT(F122)=0),"",G122*F122*1000/E122)</x:f>
        <x:v>0</x:v>
      </x:c>
      <x:c r="I122" s="10" t="n">
        <x:f>IF(OR(COUNT(E122)=0,COUNT(F122)=0),"",1000*F122/E122)</x:f>
        <x:v>10</x:v>
      </x:c>
      <x:c r="J122" s="13" t="str">
        <x:f t="shared" si="2">IF(OR(COUNT(H122)=0,COUNT(I122)=0),"",IF(H122&lt;=I122,"YES","no"))</x:f>
        <x:v>YES</x:v>
      </x:c>
      <x:c r="K122" s="10" t="n">
        <x:f t="shared" si="3">IF(OR(COUNT(H122)=0,COUNT(I122)=0),"",LOG10(MAX(H122,I122)))</x:f>
        <x:v>1</x:v>
      </x:c>
    </x:row>
    <x:row r="123">
      <x:c r="A123" s="6" t="s">
        <x:v>94</x:v>
      </x:c>
      <x:c r="B123" s="6">
        <x:v>10</x:v>
      </x:c>
      <x:c r="C123" s="6">
        <x:v>2</x:v>
      </x:c>
      <x:c r="D123" s="6">
        <x:v>24</x:v>
      </x:c>
      <x:c r="E123" s="6">
        <x:v>10</x:v>
      </x:c>
      <x:c r="F123" s="6" t="n">
        <x:v>1</x:v>
      </x:c>
      <x:c r="G123" s="6" t="n">
        <x:v>0</x:v>
      </x:c>
      <x:c r="H123" s="10" t="n">
        <x:f>IF(OR(COUNT(G123)=0,COUNT(E123)=0,COUNT(F123)=0),"",G123*F123*1000/E123)</x:f>
        <x:v>0</x:v>
      </x:c>
      <x:c r="I123" s="10" t="n">
        <x:f>IF(OR(COUNT(E123)=0,COUNT(F123)=0),"",1000*F123/E123)</x:f>
        <x:v>100</x:v>
      </x:c>
      <x:c r="J123" s="13" t="str">
        <x:f t="shared" si="2">IF(OR(COUNT(H123)=0,COUNT(I123)=0),"",IF(H123&lt;=I123,"YES","no"))</x:f>
        <x:v>YES</x:v>
      </x:c>
      <x:c r="K123" s="10" t="n">
        <x:f t="shared" si="3">IF(OR(COUNT(H123)=0,COUNT(I123)=0),"",LOG10(MAX(H123,I123)))</x:f>
        <x:v>2</x:v>
      </x:c>
    </x:row>
    <x:row r="124">
      <x:c r="A124" s="6" t="s">
        <x:v>94</x:v>
      </x:c>
      <x:c r="B124" s="6">
        <x:v>10</x:v>
      </x:c>
      <x:c r="C124" s="6">
        <x:v>2</x:v>
      </x:c>
      <x:c r="D124" s="6">
        <x:v>24</x:v>
      </x:c>
      <x:c r="E124" s="6">
        <x:v>10</x:v>
      </x:c>
      <x:c r="F124" s="6" t="n">
        <x:v>1</x:v>
      </x:c>
      <x:c r="G124" s="6" t="n">
        <x:v>0</x:v>
      </x:c>
      <x:c r="H124" s="10" t="n">
        <x:f>IF(OR(COUNT(G124)=0,COUNT(E124)=0,COUNT(F124)=0),"",G124*F124*1000/E124)</x:f>
        <x:v>0</x:v>
      </x:c>
      <x:c r="I124" s="10" t="n">
        <x:f>IF(OR(COUNT(E124)=0,COUNT(F124)=0),"",1000*F124/E124)</x:f>
        <x:v>100</x:v>
      </x:c>
      <x:c r="J124" s="13" t="str">
        <x:f t="shared" si="2">IF(OR(COUNT(H124)=0,COUNT(I124)=0),"",IF(H124&lt;=I124,"YES","no"))</x:f>
        <x:v>YES</x:v>
      </x:c>
      <x:c r="K124" s="10" t="n">
        <x:f t="shared" si="3">IF(OR(COUNT(H124)=0,COUNT(I124)=0),"",LOG10(MAX(H124,I124)))</x:f>
        <x:v>2</x:v>
      </x:c>
    </x:row>
    <x:row r="125">
      <x:c r="A125" s="6" t="s">
        <x:v>94</x:v>
      </x:c>
      <x:c r="B125" s="6">
        <x:v>10</x:v>
      </x:c>
      <x:c r="C125" s="6">
        <x:v>3</x:v>
      </x:c>
      <x:c r="D125" s="6">
        <x:v>0</x:v>
      </x:c>
      <x:c r="E125" s="6">
        <x:v>100</x:v>
      </x:c>
      <x:c r="F125" s="6" t="n">
        <x:v>1000</x:v>
      </x:c>
      <x:c r="G125" s="6" t="n">
        <x:v>31</x:v>
      </x:c>
      <x:c r="H125" s="10" t="n">
        <x:f>IF(OR(COUNT(G125)=0,COUNT(E125)=0,COUNT(F125)=0),"",G125*F125*1000/E125)</x:f>
        <x:v>310000</x:v>
      </x:c>
      <x:c r="I125" s="10" t="n">
        <x:f>IF(OR(COUNT(E125)=0,COUNT(F125)=0),"",1000*F125/E125)</x:f>
        <x:v>10000</x:v>
      </x:c>
      <x:c r="J125" s="13" t="str">
        <x:f t="shared" si="2">IF(OR(COUNT(H125)=0,COUNT(I125)=0),"",IF(H125&lt;=I125,"YES","no"))</x:f>
        <x:v>no</x:v>
      </x:c>
      <x:c r="K125" s="10" t="n">
        <x:f t="shared" si="3">IF(OR(COUNT(H125)=0,COUNT(I125)=0),"",LOG10(MAX(H125,I125)))</x:f>
        <x:v>5.49136169383427</x:v>
      </x:c>
    </x:row>
    <x:row r="126">
      <x:c r="A126" s="6" t="s">
        <x:v>94</x:v>
      </x:c>
      <x:c r="B126" s="6">
        <x:v>10</x:v>
      </x:c>
      <x:c r="C126" s="6">
        <x:v>3</x:v>
      </x:c>
      <x:c r="D126" s="6">
        <x:v>0</x:v>
      </x:c>
      <x:c r="E126" s="6">
        <x:v>100</x:v>
      </x:c>
      <x:c r="F126" s="6" t="n">
        <x:v>1000</x:v>
      </x:c>
      <x:c r="G126" s="6" t="n">
        <x:v>44</x:v>
      </x:c>
      <x:c r="H126" s="10" t="n">
        <x:f>IF(OR(COUNT(G126)=0,COUNT(E126)=0,COUNT(F126)=0),"",G126*F126*1000/E126)</x:f>
        <x:v>440000</x:v>
      </x:c>
      <x:c r="I126" s="10" t="n">
        <x:f>IF(OR(COUNT(E126)=0,COUNT(F126)=0),"",1000*F126/E126)</x:f>
        <x:v>10000</x:v>
      </x:c>
      <x:c r="J126" s="13" t="str">
        <x:f t="shared" si="2">IF(OR(COUNT(H126)=0,COUNT(I126)=0),"",IF(H126&lt;=I126,"YES","no"))</x:f>
        <x:v>no</x:v>
      </x:c>
      <x:c r="K126" s="10" t="n">
        <x:f t="shared" si="3">IF(OR(COUNT(H126)=0,COUNT(I126)=0),"",LOG10(MAX(H126,I126)))</x:f>
        <x:v>5.64345267648619</x:v>
      </x:c>
    </x:row>
    <x:row r="127">
      <x:c r="A127" s="6" t="s">
        <x:v>94</x:v>
      </x:c>
      <x:c r="B127" s="6">
        <x:v>10</x:v>
      </x:c>
      <x:c r="C127" s="6">
        <x:v>3</x:v>
      </x:c>
      <x:c r="D127" s="6">
        <x:v>0</x:v>
      </x:c>
      <x:c r="E127" s="6">
        <x:v>10</x:v>
      </x:c>
      <x:c r="F127" s="6" t="n">
        <x:v>100</x:v>
      </x:c>
      <x:c r="G127" s="6" t="n">
        <x:v>23</x:v>
      </x:c>
      <x:c r="H127" s="10" t="n">
        <x:f>IF(OR(COUNT(G127)=0,COUNT(E127)=0,COUNT(F127)=0),"",G127*F127*1000/E127)</x:f>
        <x:v>230000</x:v>
      </x:c>
      <x:c r="I127" s="10" t="n">
        <x:f>IF(OR(COUNT(E127)=0,COUNT(F127)=0),"",1000*F127/E127)</x:f>
        <x:v>10000</x:v>
      </x:c>
      <x:c r="J127" s="13" t="str">
        <x:f t="shared" si="2">IF(OR(COUNT(H127)=0,COUNT(I127)=0),"",IF(H127&lt;=I127,"YES","no"))</x:f>
        <x:v>no</x:v>
      </x:c>
      <x:c r="K127" s="10" t="n">
        <x:f t="shared" si="3">IF(OR(COUNT(H127)=0,COUNT(I127)=0),"",LOG10(MAX(H127,I127)))</x:f>
        <x:v>5.36172783601759</x:v>
      </x:c>
    </x:row>
    <x:row r="128">
      <x:c r="A128" s="6" t="s">
        <x:v>94</x:v>
      </x:c>
      <x:c r="B128" s="6">
        <x:v>10</x:v>
      </x:c>
      <x:c r="C128" s="6">
        <x:v>3</x:v>
      </x:c>
      <x:c r="D128" s="6">
        <x:v>0</x:v>
      </x:c>
      <x:c r="E128" s="6">
        <x:v>10</x:v>
      </x:c>
      <x:c r="F128" s="6" t="n">
        <x:v>100</x:v>
      </x:c>
      <x:c r="G128" s="6" t="n">
        <x:v>28</x:v>
      </x:c>
      <x:c r="H128" s="10" t="n">
        <x:f>IF(OR(COUNT(G128)=0,COUNT(E128)=0,COUNT(F128)=0),"",G128*F128*1000/E128)</x:f>
        <x:v>280000</x:v>
      </x:c>
      <x:c r="I128" s="10" t="n">
        <x:f>IF(OR(COUNT(E128)=0,COUNT(F128)=0),"",1000*F128/E128)</x:f>
        <x:v>10000</x:v>
      </x:c>
      <x:c r="J128" s="13" t="str">
        <x:f t="shared" si="2">IF(OR(COUNT(H128)=0,COUNT(I128)=0),"",IF(H128&lt;=I128,"YES","no"))</x:f>
        <x:v>no</x:v>
      </x:c>
      <x:c r="K128" s="10" t="n">
        <x:f t="shared" si="3">IF(OR(COUNT(H128)=0,COUNT(I128)=0),"",LOG10(MAX(H128,I128)))</x:f>
        <x:v>5.44715803134222</x:v>
      </x:c>
    </x:row>
    <x:row r="129">
      <x:c r="A129" s="6" t="s">
        <x:v>94</x:v>
      </x:c>
      <x:c r="B129" s="6">
        <x:v>10</x:v>
      </x:c>
      <x:c r="C129" s="6">
        <x:v>3</x:v>
      </x:c>
      <x:c r="D129" s="6">
        <x:v>1</x:v>
      </x:c>
      <x:c r="E129" s="6">
        <x:v>100</x:v>
      </x:c>
      <x:c r="F129" s="6" t="n">
        <x:v>10</x:v>
      </x:c>
      <x:c r="G129" s="6" t="n">
        <x:v>275</x:v>
      </x:c>
      <x:c r="H129" s="10" t="n">
        <x:f>IF(OR(COUNT(G129)=0,COUNT(E129)=0,COUNT(F129)=0),"",G129*F129*1000/E129)</x:f>
        <x:v>27500</x:v>
      </x:c>
      <x:c r="I129" s="10" t="n">
        <x:f>IF(OR(COUNT(E129)=0,COUNT(F129)=0),"",1000*F129/E129)</x:f>
        <x:v>100</x:v>
      </x:c>
      <x:c r="J129" s="13" t="str">
        <x:f t="shared" si="2">IF(OR(COUNT(H129)=0,COUNT(I129)=0),"",IF(H129&lt;=I129,"YES","no"))</x:f>
        <x:v>no</x:v>
      </x:c>
      <x:c r="K129" s="10" t="n">
        <x:f t="shared" si="3">IF(OR(COUNT(H129)=0,COUNT(I129)=0),"",LOG10(MAX(H129,I129)))</x:f>
        <x:v>4.43933269383026</x:v>
      </x:c>
    </x:row>
    <x:row r="130">
      <x:c r="A130" s="6" t="s">
        <x:v>94</x:v>
      </x:c>
      <x:c r="B130" s="6">
        <x:v>10</x:v>
      </x:c>
      <x:c r="C130" s="6">
        <x:v>3</x:v>
      </x:c>
      <x:c r="D130" s="6">
        <x:v>1</x:v>
      </x:c>
      <x:c r="E130" s="6">
        <x:v>100</x:v>
      </x:c>
      <x:c r="F130" s="6" t="n">
        <x:v>10</x:v>
      </x:c>
      <x:c r="G130" s="6" t="n">
        <x:v>247</x:v>
      </x:c>
      <x:c r="H130" s="10" t="n">
        <x:f>IF(OR(COUNT(G130)=0,COUNT(E130)=0,COUNT(F130)=0),"",G130*F130*1000/E130)</x:f>
        <x:v>24700</x:v>
      </x:c>
      <x:c r="I130" s="10" t="n">
        <x:f>IF(OR(COUNT(E130)=0,COUNT(F130)=0),"",1000*F130/E130)</x:f>
        <x:v>100</x:v>
      </x:c>
      <x:c r="J130" s="13" t="str">
        <x:f t="shared" si="2">IF(OR(COUNT(H130)=0,COUNT(I130)=0),"",IF(H130&lt;=I130,"YES","no"))</x:f>
        <x:v>no</x:v>
      </x:c>
      <x:c r="K130" s="10" t="n">
        <x:f t="shared" si="3">IF(OR(COUNT(H130)=0,COUNT(I130)=0),"",LOG10(MAX(H130,I130)))</x:f>
        <x:v>4.39269695325966</x:v>
      </x:c>
    </x:row>
    <x:row r="131">
      <x:c r="A131" s="6" t="s">
        <x:v>94</x:v>
      </x:c>
      <x:c r="B131" s="6">
        <x:v>10</x:v>
      </x:c>
      <x:c r="C131" s="6">
        <x:v>3</x:v>
      </x:c>
      <x:c r="D131" s="6">
        <x:v>1</x:v>
      </x:c>
      <x:c r="E131" s="6">
        <x:v>10</x:v>
      </x:c>
      <x:c r="F131" s="6" t="n">
        <x:v>1</x:v>
      </x:c>
      <x:c r="G131" s="6" t="n">
        <x:v>216</x:v>
      </x:c>
      <x:c r="H131" s="10" t="n">
        <x:f>IF(OR(COUNT(G131)=0,COUNT(E131)=0,COUNT(F131)=0),"",G131*F131*1000/E131)</x:f>
        <x:v>21600</x:v>
      </x:c>
      <x:c r="I131" s="10" t="n">
        <x:f>IF(OR(COUNT(E131)=0,COUNT(F131)=0),"",1000*F131/E131)</x:f>
        <x:v>100</x:v>
      </x:c>
      <x:c r="J131" s="13" t="str">
        <x:f t="shared" si="2">IF(OR(COUNT(H131)=0,COUNT(I131)=0),"",IF(H131&lt;=I131,"YES","no"))</x:f>
        <x:v>no</x:v>
      </x:c>
      <x:c r="K131" s="10" t="n">
        <x:f t="shared" si="3">IF(OR(COUNT(H131)=0,COUNT(I131)=0),"",LOG10(MAX(H131,I131)))</x:f>
        <x:v>4.33445375115093</x:v>
      </x:c>
    </x:row>
    <x:row r="132">
      <x:c r="A132" s="6" t="s">
        <x:v>94</x:v>
      </x:c>
      <x:c r="B132" s="6">
        <x:v>10</x:v>
      </x:c>
      <x:c r="C132" s="6">
        <x:v>3</x:v>
      </x:c>
      <x:c r="D132" s="6">
        <x:v>1</x:v>
      </x:c>
      <x:c r="E132" s="6">
        <x:v>10</x:v>
      </x:c>
      <x:c r="F132" s="6" t="n">
        <x:v>1</x:v>
      </x:c>
      <x:c r="G132" s="6" t="n">
        <x:v>175</x:v>
      </x:c>
      <x:c r="H132" s="10" t="n">
        <x:f>IF(OR(COUNT(G132)=0,COUNT(E132)=0,COUNT(F132)=0),"",G132*F132*1000/E132)</x:f>
        <x:v>17500</x:v>
      </x:c>
      <x:c r="I132" s="10" t="n">
        <x:f>IF(OR(COUNT(E132)=0,COUNT(F132)=0),"",1000*F132/E132)</x:f>
        <x:v>100</x:v>
      </x:c>
      <x:c r="J132" s="13" t="str">
        <x:f t="shared" si="2">IF(OR(COUNT(H132)=0,COUNT(I132)=0),"",IF(H132&lt;=I132,"YES","no"))</x:f>
        <x:v>no</x:v>
      </x:c>
      <x:c r="K132" s="10" t="n">
        <x:f t="shared" si="3">IF(OR(COUNT(H132)=0,COUNT(I132)=0),"",LOG10(MAX(H132,I132)))</x:f>
        <x:v>4.24303804868629</x:v>
      </x:c>
    </x:row>
    <x:row r="133">
      <x:c r="A133" s="6" t="s">
        <x:v>94</x:v>
      </x:c>
      <x:c r="B133" s="6">
        <x:v>10</x:v>
      </x:c>
      <x:c r="C133" s="6">
        <x:v>3</x:v>
      </x:c>
      <x:c r="D133" s="6">
        <x:v>2</x:v>
      </x:c>
      <x:c r="E133" s="6">
        <x:v>100</x:v>
      </x:c>
      <x:c r="F133" s="6" t="n">
        <x:v>10</x:v>
      </x:c>
      <x:c r="G133" s="6" t="n">
        <x:v>30</x:v>
      </x:c>
      <x:c r="H133" s="10" t="n">
        <x:f>IF(OR(COUNT(G133)=0,COUNT(E133)=0,COUNT(F133)=0),"",G133*F133*1000/E133)</x:f>
        <x:v>3000</x:v>
      </x:c>
      <x:c r="I133" s="10" t="n">
        <x:f>IF(OR(COUNT(E133)=0,COUNT(F133)=0),"",1000*F133/E133)</x:f>
        <x:v>100</x:v>
      </x:c>
      <x:c r="J133" s="13" t="str">
        <x:f t="shared" ref="J133:J196" si="4">IF(OR(COUNT(H133)=0,COUNT(I133)=0),"",IF(H133&lt;=I133,"YES","no"))</x:f>
        <x:v>no</x:v>
      </x:c>
      <x:c r="K133" s="10" t="n">
        <x:f t="shared" ref="K133:K196" si="5">IF(OR(COUNT(H133)=0,COUNT(I133)=0),"",LOG10(MAX(H133,I133)))</x:f>
        <x:v>3.47712125471966</x:v>
      </x:c>
    </x:row>
    <x:row r="134">
      <x:c r="A134" s="6" t="s">
        <x:v>94</x:v>
      </x:c>
      <x:c r="B134" s="6">
        <x:v>10</x:v>
      </x:c>
      <x:c r="C134" s="6">
        <x:v>3</x:v>
      </x:c>
      <x:c r="D134" s="6">
        <x:v>2</x:v>
      </x:c>
      <x:c r="E134" s="6">
        <x:v>100</x:v>
      </x:c>
      <x:c r="F134" s="6" t="n">
        <x:v>10</x:v>
      </x:c>
      <x:c r="G134" s="6" t="n">
        <x:v>18</x:v>
      </x:c>
      <x:c r="H134" s="10" t="n">
        <x:f>IF(OR(COUNT(G134)=0,COUNT(E134)=0,COUNT(F134)=0),"",G134*F134*1000/E134)</x:f>
        <x:v>1800</x:v>
      </x:c>
      <x:c r="I134" s="10" t="n">
        <x:f>IF(OR(COUNT(E134)=0,COUNT(F134)=0),"",1000*F134/E134)</x:f>
        <x:v>100</x:v>
      </x:c>
      <x:c r="J134" s="13" t="str">
        <x:f t="shared" si="4">IF(OR(COUNT(H134)=0,COUNT(I134)=0),"",IF(H134&lt;=I134,"YES","no"))</x:f>
        <x:v>no</x:v>
      </x:c>
      <x:c r="K134" s="10" t="n">
        <x:f t="shared" si="5">IF(OR(COUNT(H134)=0,COUNT(I134)=0),"",LOG10(MAX(H134,I134)))</x:f>
        <x:v>3.25527250510331</x:v>
      </x:c>
    </x:row>
    <x:row r="135">
      <x:c r="A135" s="6" t="s">
        <x:v>94</x:v>
      </x:c>
      <x:c r="B135" s="6">
        <x:v>10</x:v>
      </x:c>
      <x:c r="C135" s="6">
        <x:v>3</x:v>
      </x:c>
      <x:c r="D135" s="6">
        <x:v>2</x:v>
      </x:c>
      <x:c r="E135" s="6">
        <x:v>10</x:v>
      </x:c>
      <x:c r="F135" s="6" t="n">
        <x:v>1</x:v>
      </x:c>
      <x:c r="G135" s="6" t="n">
        <x:v>28</x:v>
      </x:c>
      <x:c r="H135" s="10" t="n">
        <x:f>IF(OR(COUNT(G135)=0,COUNT(E135)=0,COUNT(F135)=0),"",G135*F135*1000/E135)</x:f>
        <x:v>2800</x:v>
      </x:c>
      <x:c r="I135" s="10" t="n">
        <x:f>IF(OR(COUNT(E135)=0,COUNT(F135)=0),"",1000*F135/E135)</x:f>
        <x:v>100</x:v>
      </x:c>
      <x:c r="J135" s="13" t="str">
        <x:f t="shared" si="4">IF(OR(COUNT(H135)=0,COUNT(I135)=0),"",IF(H135&lt;=I135,"YES","no"))</x:f>
        <x:v>no</x:v>
      </x:c>
      <x:c r="K135" s="10" t="n">
        <x:f t="shared" si="5">IF(OR(COUNT(H135)=0,COUNT(I135)=0),"",LOG10(MAX(H135,I135)))</x:f>
        <x:v>3.44715803134222</x:v>
      </x:c>
    </x:row>
    <x:row r="136">
      <x:c r="A136" s="6" t="s">
        <x:v>94</x:v>
      </x:c>
      <x:c r="B136" s="6">
        <x:v>10</x:v>
      </x:c>
      <x:c r="C136" s="6">
        <x:v>3</x:v>
      </x:c>
      <x:c r="D136" s="6">
        <x:v>2</x:v>
      </x:c>
      <x:c r="E136" s="6">
        <x:v>10</x:v>
      </x:c>
      <x:c r="F136" s="6" t="n">
        <x:v>1</x:v>
      </x:c>
      <x:c r="G136" s="6" t="n">
        <x:v>8</x:v>
      </x:c>
      <x:c r="H136" s="10" t="n">
        <x:f>IF(OR(COUNT(G136)=0,COUNT(E136)=0,COUNT(F136)=0),"",G136*F136*1000/E136)</x:f>
        <x:v>800</x:v>
      </x:c>
      <x:c r="I136" s="10" t="n">
        <x:f>IF(OR(COUNT(E136)=0,COUNT(F136)=0),"",1000*F136/E136)</x:f>
        <x:v>100</x:v>
      </x:c>
      <x:c r="J136" s="13" t="str">
        <x:f t="shared" si="4">IF(OR(COUNT(H136)=0,COUNT(I136)=0),"",IF(H136&lt;=I136,"YES","no"))</x:f>
        <x:v>no</x:v>
      </x:c>
      <x:c r="K136" s="10" t="n">
        <x:f t="shared" si="5">IF(OR(COUNT(H136)=0,COUNT(I136)=0),"",LOG10(MAX(H136,I136)))</x:f>
        <x:v>2.90308998699194</x:v>
      </x:c>
    </x:row>
    <x:row r="137">
      <x:c r="A137" s="6" t="s">
        <x:v>94</x:v>
      </x:c>
      <x:c r="B137" s="6">
        <x:v>10</x:v>
      </x:c>
      <x:c r="C137" s="6">
        <x:v>3</x:v>
      </x:c>
      <x:c r="D137" s="6">
        <x:v>4</x:v>
      </x:c>
      <x:c r="E137" s="6">
        <x:v>100</x:v>
      </x:c>
      <x:c r="F137" s="6" t="n">
        <x:v>1</x:v>
      </x:c>
      <x:c r="G137" s="6" t="n">
        <x:v>65</x:v>
      </x:c>
      <x:c r="H137" s="10" t="n">
        <x:f>IF(OR(COUNT(G137)=0,COUNT(E137)=0,COUNT(F137)=0),"",G137*F137*1000/E137)</x:f>
        <x:v>650</x:v>
      </x:c>
      <x:c r="I137" s="10" t="n">
        <x:f>IF(OR(COUNT(E137)=0,COUNT(F137)=0),"",1000*F137/E137)</x:f>
        <x:v>10</x:v>
      </x:c>
      <x:c r="J137" s="13" t="str">
        <x:f t="shared" si="4">IF(OR(COUNT(H137)=0,COUNT(I137)=0),"",IF(H137&lt;=I137,"YES","no"))</x:f>
        <x:v>no</x:v>
      </x:c>
      <x:c r="K137" s="10" t="n">
        <x:f t="shared" si="5">IF(OR(COUNT(H137)=0,COUNT(I137)=0),"",LOG10(MAX(H137,I137)))</x:f>
        <x:v>2.81291335664286</x:v>
      </x:c>
    </x:row>
    <x:row r="138">
      <x:c r="A138" s="6" t="s">
        <x:v>94</x:v>
      </x:c>
      <x:c r="B138" s="6">
        <x:v>10</x:v>
      </x:c>
      <x:c r="C138" s="6">
        <x:v>3</x:v>
      </x:c>
      <x:c r="D138" s="6">
        <x:v>4</x:v>
      </x:c>
      <x:c r="E138" s="6">
        <x:v>100</x:v>
      </x:c>
      <x:c r="F138" s="6" t="n">
        <x:v>1</x:v>
      </x:c>
      <x:c r="G138" s="6" t="n">
        <x:v>59</x:v>
      </x:c>
      <x:c r="H138" s="10" t="n">
        <x:f>IF(OR(COUNT(G138)=0,COUNT(E138)=0,COUNT(F138)=0),"",G138*F138*1000/E138)</x:f>
        <x:v>590</x:v>
      </x:c>
      <x:c r="I138" s="10" t="n">
        <x:f>IF(OR(COUNT(E138)=0,COUNT(F138)=0),"",1000*F138/E138)</x:f>
        <x:v>10</x:v>
      </x:c>
      <x:c r="J138" s="13" t="str">
        <x:f t="shared" si="4">IF(OR(COUNT(H138)=0,COUNT(I138)=0),"",IF(H138&lt;=I138,"YES","no"))</x:f>
        <x:v>no</x:v>
      </x:c>
      <x:c r="K138" s="10" t="n">
        <x:f t="shared" si="5">IF(OR(COUNT(H138)=0,COUNT(I138)=0),"",LOG10(MAX(H138,I138)))</x:f>
        <x:v>2.77085201164214</x:v>
      </x:c>
    </x:row>
    <x:row r="139">
      <x:c r="A139" s="6" t="s">
        <x:v>94</x:v>
      </x:c>
      <x:c r="B139" s="6">
        <x:v>10</x:v>
      </x:c>
      <x:c r="C139" s="6">
        <x:v>3</x:v>
      </x:c>
      <x:c r="D139" s="6">
        <x:v>4</x:v>
      </x:c>
      <x:c r="E139" s="6">
        <x:v>10</x:v>
      </x:c>
      <x:c r="F139" s="6" t="n">
        <x:v>1</x:v>
      </x:c>
      <x:c r="G139" s="6" t="n">
        <x:v>15</x:v>
      </x:c>
      <x:c r="H139" s="10" t="n">
        <x:f>IF(OR(COUNT(G139)=0,COUNT(E139)=0,COUNT(F139)=0),"",G139*F139*1000/E139)</x:f>
        <x:v>1500</x:v>
      </x:c>
      <x:c r="I139" s="10" t="n">
        <x:f>IF(OR(COUNT(E139)=0,COUNT(F139)=0),"",1000*F139/E139)</x:f>
        <x:v>100</x:v>
      </x:c>
      <x:c r="J139" s="13" t="str">
        <x:f t="shared" si="4">IF(OR(COUNT(H139)=0,COUNT(I139)=0),"",IF(H139&lt;=I139,"YES","no"))</x:f>
        <x:v>no</x:v>
      </x:c>
      <x:c r="K139" s="10" t="n">
        <x:f t="shared" si="5">IF(OR(COUNT(H139)=0,COUNT(I139)=0),"",LOG10(MAX(H139,I139)))</x:f>
        <x:v>3.17609125905568</x:v>
      </x:c>
    </x:row>
    <x:row r="140">
      <x:c r="A140" s="6" t="s">
        <x:v>94</x:v>
      </x:c>
      <x:c r="B140" s="6">
        <x:v>10</x:v>
      </x:c>
      <x:c r="C140" s="6">
        <x:v>3</x:v>
      </x:c>
      <x:c r="D140" s="6">
        <x:v>4</x:v>
      </x:c>
      <x:c r="E140" s="6">
        <x:v>10</x:v>
      </x:c>
      <x:c r="F140" s="6" t="n">
        <x:v>1</x:v>
      </x:c>
      <x:c r="G140" s="6" t="n">
        <x:v>6</x:v>
      </x:c>
      <x:c r="H140" s="10" t="n">
        <x:f>IF(OR(COUNT(G140)=0,COUNT(E140)=0,COUNT(F140)=0),"",G140*F140*1000/E140)</x:f>
        <x:v>600</x:v>
      </x:c>
      <x:c r="I140" s="10" t="n">
        <x:f>IF(OR(COUNT(E140)=0,COUNT(F140)=0),"",1000*F140/E140)</x:f>
        <x:v>100</x:v>
      </x:c>
      <x:c r="J140" s="13" t="str">
        <x:f t="shared" si="4">IF(OR(COUNT(H140)=0,COUNT(I140)=0),"",IF(H140&lt;=I140,"YES","no"))</x:f>
        <x:v>no</x:v>
      </x:c>
      <x:c r="K140" s="10" t="n">
        <x:f t="shared" si="5">IF(OR(COUNT(H140)=0,COUNT(I140)=0),"",LOG10(MAX(H140,I140)))</x:f>
        <x:v>2.77815125038364</x:v>
      </x:c>
    </x:row>
    <x:row r="141">
      <x:c r="A141" s="6" t="s">
        <x:v>94</x:v>
      </x:c>
      <x:c r="B141" s="6">
        <x:v>10</x:v>
      </x:c>
      <x:c r="C141" s="6">
        <x:v>3</x:v>
      </x:c>
      <x:c r="D141" s="6">
        <x:v>6</x:v>
      </x:c>
      <x:c r="E141" s="6">
        <x:v>100</x:v>
      </x:c>
      <x:c r="F141" s="6" t="n">
        <x:v>1</x:v>
      </x:c>
      <x:c r="G141" s="6" t="n">
        <x:v>39</x:v>
      </x:c>
      <x:c r="H141" s="10" t="n">
        <x:f>IF(OR(COUNT(G141)=0,COUNT(E141)=0,COUNT(F141)=0),"",G141*F141*1000/E141)</x:f>
        <x:v>390</x:v>
      </x:c>
      <x:c r="I141" s="10" t="n">
        <x:f>IF(OR(COUNT(E141)=0,COUNT(F141)=0),"",1000*F141/E141)</x:f>
        <x:v>10</x:v>
      </x:c>
      <x:c r="J141" s="13" t="str">
        <x:f t="shared" si="4">IF(OR(COUNT(H141)=0,COUNT(I141)=0),"",IF(H141&lt;=I141,"YES","no"))</x:f>
        <x:v>no</x:v>
      </x:c>
      <x:c r="K141" s="10" t="n">
        <x:f t="shared" si="5">IF(OR(COUNT(H141)=0,COUNT(I141)=0),"",LOG10(MAX(H141,I141)))</x:f>
        <x:v>2.5910646070265</x:v>
      </x:c>
    </x:row>
    <x:row r="142">
      <x:c r="A142" s="6" t="s">
        <x:v>94</x:v>
      </x:c>
      <x:c r="B142" s="6">
        <x:v>10</x:v>
      </x:c>
      <x:c r="C142" s="6">
        <x:v>3</x:v>
      </x:c>
      <x:c r="D142" s="6">
        <x:v>6</x:v>
      </x:c>
      <x:c r="E142" s="6">
        <x:v>100</x:v>
      </x:c>
      <x:c r="F142" s="6" t="n">
        <x:v>1</x:v>
      </x:c>
      <x:c r="G142" s="6" t="n">
        <x:v>36</x:v>
      </x:c>
      <x:c r="H142" s="10" t="n">
        <x:f>IF(OR(COUNT(G142)=0,COUNT(E142)=0,COUNT(F142)=0),"",G142*F142*1000/E142)</x:f>
        <x:v>360</x:v>
      </x:c>
      <x:c r="I142" s="10" t="n">
        <x:f>IF(OR(COUNT(E142)=0,COUNT(F142)=0),"",1000*F142/E142)</x:f>
        <x:v>10</x:v>
      </x:c>
      <x:c r="J142" s="13" t="str">
        <x:f t="shared" si="4">IF(OR(COUNT(H142)=0,COUNT(I142)=0),"",IF(H142&lt;=I142,"YES","no"))</x:f>
        <x:v>no</x:v>
      </x:c>
      <x:c r="K142" s="10" t="n">
        <x:f t="shared" si="5">IF(OR(COUNT(H142)=0,COUNT(I142)=0),"",LOG10(MAX(H142,I142)))</x:f>
        <x:v>2.55630250076729</x:v>
      </x:c>
    </x:row>
    <x:row r="143">
      <x:c r="A143" s="6" t="s">
        <x:v>94</x:v>
      </x:c>
      <x:c r="B143" s="6">
        <x:v>10</x:v>
      </x:c>
      <x:c r="C143" s="6">
        <x:v>3</x:v>
      </x:c>
      <x:c r="D143" s="6">
        <x:v>6</x:v>
      </x:c>
      <x:c r="E143" s="6">
        <x:v>10</x:v>
      </x:c>
      <x:c r="F143" s="6" t="n">
        <x:v>1</x:v>
      </x:c>
      <x:c r="G143" s="6" t="n">
        <x:v>0</x:v>
      </x:c>
      <x:c r="H143" s="10" t="n">
        <x:f>IF(OR(COUNT(G143)=0,COUNT(E143)=0,COUNT(F143)=0),"",G143*F143*1000/E143)</x:f>
        <x:v>0</x:v>
      </x:c>
      <x:c r="I143" s="10" t="n">
        <x:f>IF(OR(COUNT(E143)=0,COUNT(F143)=0),"",1000*F143/E143)</x:f>
        <x:v>100</x:v>
      </x:c>
      <x:c r="J143" s="13" t="str">
        <x:f t="shared" si="4">IF(OR(COUNT(H143)=0,COUNT(I143)=0),"",IF(H143&lt;=I143,"YES","no"))</x:f>
        <x:v>YES</x:v>
      </x:c>
      <x:c r="K143" s="10" t="n">
        <x:f t="shared" si="5">IF(OR(COUNT(H143)=0,COUNT(I143)=0),"",LOG10(MAX(H143,I143)))</x:f>
        <x:v>2</x:v>
      </x:c>
    </x:row>
    <x:row r="144">
      <x:c r="A144" s="6" t="s">
        <x:v>94</x:v>
      </x:c>
      <x:c r="B144" s="6">
        <x:v>10</x:v>
      </x:c>
      <x:c r="C144" s="6">
        <x:v>3</x:v>
      </x:c>
      <x:c r="D144" s="6">
        <x:v>6</x:v>
      </x:c>
      <x:c r="E144" s="6">
        <x:v>10</x:v>
      </x:c>
      <x:c r="F144" s="6" t="n">
        <x:v>1</x:v>
      </x:c>
      <x:c r="G144" s="6" t="n">
        <x:v>2</x:v>
      </x:c>
      <x:c r="H144" s="10" t="n">
        <x:f>IF(OR(COUNT(G144)=0,COUNT(E144)=0,COUNT(F144)=0),"",G144*F144*1000/E144)</x:f>
        <x:v>200</x:v>
      </x:c>
      <x:c r="I144" s="10" t="n">
        <x:f>IF(OR(COUNT(E144)=0,COUNT(F144)=0),"",1000*F144/E144)</x:f>
        <x:v>100</x:v>
      </x:c>
      <x:c r="J144" s="13" t="str">
        <x:f t="shared" si="4">IF(OR(COUNT(H144)=0,COUNT(I144)=0),"",IF(H144&lt;=I144,"YES","no"))</x:f>
        <x:v>no</x:v>
      </x:c>
      <x:c r="K144" s="10" t="n">
        <x:f t="shared" si="5">IF(OR(COUNT(H144)=0,COUNT(I144)=0),"",LOG10(MAX(H144,I144)))</x:f>
        <x:v>2.30102999566398</x:v>
      </x:c>
    </x:row>
    <x:row r="145">
      <x:c r="A145" s="6" t="s">
        <x:v>94</x:v>
      </x:c>
      <x:c r="B145" s="6">
        <x:v>10</x:v>
      </x:c>
      <x:c r="C145" s="6">
        <x:v>3</x:v>
      </x:c>
      <x:c r="D145" s="6">
        <x:v>24</x:v>
      </x:c>
      <x:c r="E145" s="6">
        <x:v>100</x:v>
      </x:c>
      <x:c r="F145" s="6" t="n">
        <x:v>1</x:v>
      </x:c>
      <x:c r="G145" s="6" t="n">
        <x:v>0</x:v>
      </x:c>
      <x:c r="H145" s="10" t="n">
        <x:f>IF(OR(COUNT(G145)=0,COUNT(E145)=0,COUNT(F145)=0),"",G145*F145*1000/E145)</x:f>
        <x:v>0</x:v>
      </x:c>
      <x:c r="I145" s="10" t="n">
        <x:f>IF(OR(COUNT(E145)=0,COUNT(F145)=0),"",1000*F145/E145)</x:f>
        <x:v>10</x:v>
      </x:c>
      <x:c r="J145" s="13" t="str">
        <x:f t="shared" si="4">IF(OR(COUNT(H145)=0,COUNT(I145)=0),"",IF(H145&lt;=I145,"YES","no"))</x:f>
        <x:v>YES</x:v>
      </x:c>
      <x:c r="K145" s="10" t="n">
        <x:f t="shared" si="5">IF(OR(COUNT(H145)=0,COUNT(I145)=0),"",LOG10(MAX(H145,I145)))</x:f>
        <x:v>1</x:v>
      </x:c>
    </x:row>
    <x:row r="146">
      <x:c r="A146" s="6" t="s">
        <x:v>94</x:v>
      </x:c>
      <x:c r="B146" s="6">
        <x:v>10</x:v>
      </x:c>
      <x:c r="C146" s="6">
        <x:v>3</x:v>
      </x:c>
      <x:c r="D146" s="6">
        <x:v>24</x:v>
      </x:c>
      <x:c r="E146" s="6">
        <x:v>100</x:v>
      </x:c>
      <x:c r="F146" s="6" t="n">
        <x:v>1</x:v>
      </x:c>
      <x:c r="G146" s="6" t="n">
        <x:v>1</x:v>
      </x:c>
      <x:c r="H146" s="10" t="n">
        <x:f>IF(OR(COUNT(G146)=0,COUNT(E146)=0,COUNT(F146)=0),"",G146*F146*1000/E146)</x:f>
        <x:v>10</x:v>
      </x:c>
      <x:c r="I146" s="10" t="n">
        <x:f>IF(OR(COUNT(E146)=0,COUNT(F146)=0),"",1000*F146/E146)</x:f>
        <x:v>10</x:v>
      </x:c>
      <x:c r="J146" s="13" t="str">
        <x:f t="shared" si="4">IF(OR(COUNT(H146)=0,COUNT(I146)=0),"",IF(H146&lt;=I146,"YES","no"))</x:f>
        <x:v>YES</x:v>
      </x:c>
      <x:c r="K146" s="10" t="n">
        <x:f t="shared" si="5">IF(OR(COUNT(H146)=0,COUNT(I146)=0),"",LOG10(MAX(H146,I146)))</x:f>
        <x:v>1</x:v>
      </x:c>
    </x:row>
    <x:row r="147">
      <x:c r="A147" s="6" t="s">
        <x:v>94</x:v>
      </x:c>
      <x:c r="B147" s="6">
        <x:v>10</x:v>
      </x:c>
      <x:c r="C147" s="6">
        <x:v>3</x:v>
      </x:c>
      <x:c r="D147" s="6">
        <x:v>24</x:v>
      </x:c>
      <x:c r="E147" s="6">
        <x:v>10</x:v>
      </x:c>
      <x:c r="F147" s="6" t="n">
        <x:v>1</x:v>
      </x:c>
      <x:c r="G147" s="6" t="n">
        <x:v>0</x:v>
      </x:c>
      <x:c r="H147" s="10" t="n">
        <x:f>IF(OR(COUNT(G147)=0,COUNT(E147)=0,COUNT(F147)=0),"",G147*F147*1000/E147)</x:f>
        <x:v>0</x:v>
      </x:c>
      <x:c r="I147" s="10" t="n">
        <x:f>IF(OR(COUNT(E147)=0,COUNT(F147)=0),"",1000*F147/E147)</x:f>
        <x:v>100</x:v>
      </x:c>
      <x:c r="J147" s="13" t="str">
        <x:f t="shared" si="4">IF(OR(COUNT(H147)=0,COUNT(I147)=0),"",IF(H147&lt;=I147,"YES","no"))</x:f>
        <x:v>YES</x:v>
      </x:c>
      <x:c r="K147" s="10" t="n">
        <x:f t="shared" si="5">IF(OR(COUNT(H147)=0,COUNT(I147)=0),"",LOG10(MAX(H147,I147)))</x:f>
        <x:v>2</x:v>
      </x:c>
    </x:row>
    <x:row r="148">
      <x:c r="A148" s="6" t="s">
        <x:v>94</x:v>
      </x:c>
      <x:c r="B148" s="6">
        <x:v>10</x:v>
      </x:c>
      <x:c r="C148" s="6">
        <x:v>3</x:v>
      </x:c>
      <x:c r="D148" s="6">
        <x:v>24</x:v>
      </x:c>
      <x:c r="E148" s="6">
        <x:v>10</x:v>
      </x:c>
      <x:c r="F148" s="6" t="n">
        <x:v>1</x:v>
      </x:c>
      <x:c r="G148" s="6" t="n">
        <x:v>0</x:v>
      </x:c>
      <x:c r="H148" s="10" t="n">
        <x:f>IF(OR(COUNT(G148)=0,COUNT(E148)=0,COUNT(F148)=0),"",G148*F148*1000/E148)</x:f>
        <x:v>0</x:v>
      </x:c>
      <x:c r="I148" s="10" t="n">
        <x:f>IF(OR(COUNT(E148)=0,COUNT(F148)=0),"",1000*F148/E148)</x:f>
        <x:v>100</x:v>
      </x:c>
      <x:c r="J148" s="13" t="str">
        <x:f t="shared" si="4">IF(OR(COUNT(H148)=0,COUNT(I148)=0),"",IF(H148&lt;=I148,"YES","no"))</x:f>
        <x:v>YES</x:v>
      </x:c>
      <x:c r="K148" s="10" t="n">
        <x:f t="shared" si="5">IF(OR(COUNT(H148)=0,COUNT(I148)=0),"",LOG10(MAX(H148,I148)))</x:f>
        <x:v>2</x:v>
      </x:c>
    </x:row>
    <x:row r="149">
      <x:c r="A149" s="6" t="s">
        <x:v>95</x:v>
      </x:c>
      <x:c r="B149" s="6">
        <x:v>10</x:v>
      </x:c>
      <x:c r="C149" s="6">
        <x:v>1</x:v>
      </x:c>
      <x:c r="D149" s="6">
        <x:v>0</x:v>
      </x:c>
      <x:c r="E149" s="6">
        <x:v>100</x:v>
      </x:c>
      <x:c r="F149" s="6" t="n">
        <x:v>10000</x:v>
      </x:c>
      <x:c r="G149" s="6" t="n">
        <x:v>49</x:v>
      </x:c>
      <x:c r="H149" s="10" t="n">
        <x:f>IF(OR(COUNT(G149)=0,COUNT(E149)=0,COUNT(F149)=0),"",G149*F149*1000/E149)</x:f>
        <x:v>4900000</x:v>
      </x:c>
      <x:c r="I149" s="10" t="n">
        <x:f>IF(OR(COUNT(E149)=0,COUNT(F149)=0),"",1000*F149/E149)</x:f>
        <x:v>100000</x:v>
      </x:c>
      <x:c r="J149" s="13" t="str">
        <x:f t="shared" si="4">IF(OR(COUNT(H149)=0,COUNT(I149)=0),"",IF(H149&lt;=I149,"YES","no"))</x:f>
        <x:v>no</x:v>
      </x:c>
      <x:c r="K149" s="10" t="n">
        <x:f t="shared" si="5">IF(OR(COUNT(H149)=0,COUNT(I149)=0),"",LOG10(MAX(H149,I149)))</x:f>
        <x:v>6.69019608002851</x:v>
      </x:c>
    </x:row>
    <x:row r="150">
      <x:c r="A150" s="6" t="s">
        <x:v>95</x:v>
      </x:c>
      <x:c r="B150" s="6">
        <x:v>10</x:v>
      </x:c>
      <x:c r="C150" s="6">
        <x:v>1</x:v>
      </x:c>
      <x:c r="D150" s="6">
        <x:v>0</x:v>
      </x:c>
      <x:c r="E150" s="6">
        <x:v>100</x:v>
      </x:c>
      <x:c r="F150" s="6" t="n">
        <x:v>10000</x:v>
      </x:c>
      <x:c r="G150" s="6" t="n">
        <x:v>32</x:v>
      </x:c>
      <x:c r="H150" s="10" t="n">
        <x:f>IF(OR(COUNT(G150)=0,COUNT(E150)=0,COUNT(F150)=0),"",G150*F150*1000/E150)</x:f>
        <x:v>3200000</x:v>
      </x:c>
      <x:c r="I150" s="10" t="n">
        <x:f>IF(OR(COUNT(E150)=0,COUNT(F150)=0),"",1000*F150/E150)</x:f>
        <x:v>100000</x:v>
      </x:c>
      <x:c r="J150" s="13" t="str">
        <x:f t="shared" si="4">IF(OR(COUNT(H150)=0,COUNT(I150)=0),"",IF(H150&lt;=I150,"YES","no"))</x:f>
        <x:v>no</x:v>
      </x:c>
      <x:c r="K150" s="10" t="n">
        <x:f t="shared" si="5">IF(OR(COUNT(H150)=0,COUNT(I150)=0),"",LOG10(MAX(H150,I150)))</x:f>
        <x:v>6.50514997831991</x:v>
      </x:c>
    </x:row>
    <x:row r="151">
      <x:c r="A151" s="6" t="s">
        <x:v>95</x:v>
      </x:c>
      <x:c r="B151" s="6">
        <x:v>10</x:v>
      </x:c>
      <x:c r="C151" s="6">
        <x:v>1</x:v>
      </x:c>
      <x:c r="D151" s="6">
        <x:v>0</x:v>
      </x:c>
      <x:c r="E151" s="6">
        <x:v>10</x:v>
      </x:c>
      <x:c r="F151" s="6" t="n">
        <x:v>1000</x:v>
      </x:c>
      <x:c r="G151" s="6" t="n">
        <x:v>36</x:v>
      </x:c>
      <x:c r="H151" s="10" t="n">
        <x:f>IF(OR(COUNT(G151)=0,COUNT(E151)=0,COUNT(F151)=0),"",G151*F151*1000/E151)</x:f>
        <x:v>3600000</x:v>
      </x:c>
      <x:c r="I151" s="10" t="n">
        <x:f>IF(OR(COUNT(E151)=0,COUNT(F151)=0),"",1000*F151/E151)</x:f>
        <x:v>100000</x:v>
      </x:c>
      <x:c r="J151" s="13" t="str">
        <x:f t="shared" si="4">IF(OR(COUNT(H151)=0,COUNT(I151)=0),"",IF(H151&lt;=I151,"YES","no"))</x:f>
        <x:v>no</x:v>
      </x:c>
      <x:c r="K151" s="10" t="n">
        <x:f t="shared" si="5">IF(OR(COUNT(H151)=0,COUNT(I151)=0),"",LOG10(MAX(H151,I151)))</x:f>
        <x:v>6.55630250076729</x:v>
      </x:c>
    </x:row>
    <x:row r="152">
      <x:c r="A152" s="6" t="s">
        <x:v>95</x:v>
      </x:c>
      <x:c r="B152" s="6">
        <x:v>10</x:v>
      </x:c>
      <x:c r="C152" s="6">
        <x:v>1</x:v>
      </x:c>
      <x:c r="D152" s="6">
        <x:v>0</x:v>
      </x:c>
      <x:c r="E152" s="6">
        <x:v>10</x:v>
      </x:c>
      <x:c r="F152" s="6" t="n">
        <x:v>1000</x:v>
      </x:c>
      <x:c r="G152" s="6" t="n">
        <x:v>36</x:v>
      </x:c>
      <x:c r="H152" s="10" t="n">
        <x:f>IF(OR(COUNT(G152)=0,COUNT(E152)=0,COUNT(F152)=0),"",G152*F152*1000/E152)</x:f>
        <x:v>3600000</x:v>
      </x:c>
      <x:c r="I152" s="10" t="n">
        <x:f>IF(OR(COUNT(E152)=0,COUNT(F152)=0),"",1000*F152/E152)</x:f>
        <x:v>100000</x:v>
      </x:c>
      <x:c r="J152" s="13" t="str">
        <x:f t="shared" si="4">IF(OR(COUNT(H152)=0,COUNT(I152)=0),"",IF(H152&lt;=I152,"YES","no"))</x:f>
        <x:v>no</x:v>
      </x:c>
      <x:c r="K152" s="10" t="n">
        <x:f t="shared" si="5">IF(OR(COUNT(H152)=0,COUNT(I152)=0),"",LOG10(MAX(H152,I152)))</x:f>
        <x:v>6.55630250076729</x:v>
      </x:c>
    </x:row>
    <x:row r="153">
      <x:c r="A153" s="6" t="s">
        <x:v>95</x:v>
      </x:c>
      <x:c r="B153" s="6">
        <x:v>10</x:v>
      </x:c>
      <x:c r="C153" s="6">
        <x:v>1</x:v>
      </x:c>
      <x:c r="D153" s="6">
        <x:v>1</x:v>
      </x:c>
      <x:c r="E153" s="6">
        <x:v>100</x:v>
      </x:c>
      <x:c r="F153" s="6" t="n">
        <x:v>1000</x:v>
      </x:c>
      <x:c r="G153" s="6" t="n">
        <x:v>19</x:v>
      </x:c>
      <x:c r="H153" s="10" t="n">
        <x:f>IF(OR(COUNT(G153)=0,COUNT(E153)=0,COUNT(F153)=0),"",G153*F153*1000/E153)</x:f>
        <x:v>190000</x:v>
      </x:c>
      <x:c r="I153" s="10" t="n">
        <x:f>IF(OR(COUNT(E153)=0,COUNT(F153)=0),"",1000*F153/E153)</x:f>
        <x:v>10000</x:v>
      </x:c>
      <x:c r="J153" s="13" t="str">
        <x:f t="shared" si="4">IF(OR(COUNT(H153)=0,COUNT(I153)=0),"",IF(H153&lt;=I153,"YES","no"))</x:f>
        <x:v>no</x:v>
      </x:c>
      <x:c r="K153" s="10" t="n">
        <x:f t="shared" si="5">IF(OR(COUNT(H153)=0,COUNT(I153)=0),"",LOG10(MAX(H153,I153)))</x:f>
        <x:v>5.27875360095283</x:v>
      </x:c>
    </x:row>
    <x:row r="154">
      <x:c r="A154" s="6" t="s">
        <x:v>95</x:v>
      </x:c>
      <x:c r="B154" s="6">
        <x:v>10</x:v>
      </x:c>
      <x:c r="C154" s="6">
        <x:v>1</x:v>
      </x:c>
      <x:c r="D154" s="6">
        <x:v>1</x:v>
      </x:c>
      <x:c r="E154" s="6">
        <x:v>100</x:v>
      </x:c>
      <x:c r="F154" s="6" t="n">
        <x:v>1000</x:v>
      </x:c>
      <x:c r="G154" s="6" t="n">
        <x:v>37</x:v>
      </x:c>
      <x:c r="H154" s="10" t="n">
        <x:f>IF(OR(COUNT(G154)=0,COUNT(E154)=0,COUNT(F154)=0),"",G154*F154*1000/E154)</x:f>
        <x:v>370000</x:v>
      </x:c>
      <x:c r="I154" s="10" t="n">
        <x:f>IF(OR(COUNT(E154)=0,COUNT(F154)=0),"",1000*F154/E154)</x:f>
        <x:v>10000</x:v>
      </x:c>
      <x:c r="J154" s="13" t="str">
        <x:f t="shared" si="4">IF(OR(COUNT(H154)=0,COUNT(I154)=0),"",IF(H154&lt;=I154,"YES","no"))</x:f>
        <x:v>no</x:v>
      </x:c>
      <x:c r="K154" s="10" t="n">
        <x:f t="shared" si="5">IF(OR(COUNT(H154)=0,COUNT(I154)=0),"",LOG10(MAX(H154,I154)))</x:f>
        <x:v>5.56820172406699</x:v>
      </x:c>
    </x:row>
    <x:row r="155">
      <x:c r="A155" s="6" t="s">
        <x:v>95</x:v>
      </x:c>
      <x:c r="B155" s="6">
        <x:v>10</x:v>
      </x:c>
      <x:c r="C155" s="6">
        <x:v>1</x:v>
      </x:c>
      <x:c r="D155" s="6">
        <x:v>1</x:v>
      </x:c>
      <x:c r="E155" s="6">
        <x:v>10</x:v>
      </x:c>
      <x:c r="F155" s="6" t="n">
        <x:v>100</x:v>
      </x:c>
      <x:c r="G155" s="6" t="n">
        <x:v>16</x:v>
      </x:c>
      <x:c r="H155" s="10" t="n">
        <x:f>IF(OR(COUNT(G155)=0,COUNT(E155)=0,COUNT(F155)=0),"",G155*F155*1000/E155)</x:f>
        <x:v>160000</x:v>
      </x:c>
      <x:c r="I155" s="10" t="n">
        <x:f>IF(OR(COUNT(E155)=0,COUNT(F155)=0),"",1000*F155/E155)</x:f>
        <x:v>10000</x:v>
      </x:c>
      <x:c r="J155" s="13" t="str">
        <x:f t="shared" si="4">IF(OR(COUNT(H155)=0,COUNT(I155)=0),"",IF(H155&lt;=I155,"YES","no"))</x:f>
        <x:v>no</x:v>
      </x:c>
      <x:c r="K155" s="10" t="n">
        <x:f t="shared" si="5">IF(OR(COUNT(H155)=0,COUNT(I155)=0),"",LOG10(MAX(H155,I155)))</x:f>
        <x:v>5.20411998265592</x:v>
      </x:c>
    </x:row>
    <x:row r="156">
      <x:c r="A156" s="6" t="s">
        <x:v>95</x:v>
      </x:c>
      <x:c r="B156" s="6">
        <x:v>10</x:v>
      </x:c>
      <x:c r="C156" s="6">
        <x:v>1</x:v>
      </x:c>
      <x:c r="D156" s="6">
        <x:v>1</x:v>
      </x:c>
      <x:c r="E156" s="6">
        <x:v>10</x:v>
      </x:c>
      <x:c r="F156" s="6" t="n">
        <x:v>100</x:v>
      </x:c>
      <x:c r="G156" s="6" t="n">
        <x:v>21</x:v>
      </x:c>
      <x:c r="H156" s="10" t="n">
        <x:f>IF(OR(COUNT(G156)=0,COUNT(E156)=0,COUNT(F156)=0),"",G156*F156*1000/E156)</x:f>
        <x:v>210000</x:v>
      </x:c>
      <x:c r="I156" s="10" t="n">
        <x:f>IF(OR(COUNT(E156)=0,COUNT(F156)=0),"",1000*F156/E156)</x:f>
        <x:v>10000</x:v>
      </x:c>
      <x:c r="J156" s="13" t="str">
        <x:f t="shared" si="4">IF(OR(COUNT(H156)=0,COUNT(I156)=0),"",IF(H156&lt;=I156,"YES","no"))</x:f>
        <x:v>no</x:v>
      </x:c>
      <x:c r="K156" s="10" t="n">
        <x:f t="shared" si="5">IF(OR(COUNT(H156)=0,COUNT(I156)=0),"",LOG10(MAX(H156,I156)))</x:f>
        <x:v>5.32221929473392</x:v>
      </x:c>
    </x:row>
    <x:row r="157">
      <x:c r="A157" s="6" t="s">
        <x:v>95</x:v>
      </x:c>
      <x:c r="B157" s="6">
        <x:v>10</x:v>
      </x:c>
      <x:c r="C157" s="6">
        <x:v>1</x:v>
      </x:c>
      <x:c r="D157" s="6">
        <x:v>2</x:v>
      </x:c>
      <x:c r="E157" s="6">
        <x:v>100</x:v>
      </x:c>
      <x:c r="F157" s="6" t="n">
        <x:v>100</x:v>
      </x:c>
      <x:c r="G157" s="6" t="n">
        <x:v>19</x:v>
      </x:c>
      <x:c r="H157" s="10" t="n">
        <x:f>IF(OR(COUNT(G157)=0,COUNT(E157)=0,COUNT(F157)=0),"",G157*F157*1000/E157)</x:f>
        <x:v>19000</x:v>
      </x:c>
      <x:c r="I157" s="10" t="n">
        <x:f>IF(OR(COUNT(E157)=0,COUNT(F157)=0),"",1000*F157/E157)</x:f>
        <x:v>1000</x:v>
      </x:c>
      <x:c r="J157" s="13" t="str">
        <x:f t="shared" si="4">IF(OR(COUNT(H157)=0,COUNT(I157)=0),"",IF(H157&lt;=I157,"YES","no"))</x:f>
        <x:v>no</x:v>
      </x:c>
      <x:c r="K157" s="10" t="n">
        <x:f t="shared" si="5">IF(OR(COUNT(H157)=0,COUNT(I157)=0),"",LOG10(MAX(H157,I157)))</x:f>
        <x:v>4.27875360095283</x:v>
      </x:c>
    </x:row>
    <x:row r="158">
      <x:c r="A158" s="6" t="s">
        <x:v>95</x:v>
      </x:c>
      <x:c r="B158" s="6">
        <x:v>10</x:v>
      </x:c>
      <x:c r="C158" s="6">
        <x:v>1</x:v>
      </x:c>
      <x:c r="D158" s="6">
        <x:v>2</x:v>
      </x:c>
      <x:c r="E158" s="6">
        <x:v>100</x:v>
      </x:c>
      <x:c r="F158" s="6" t="n">
        <x:v>100</x:v>
      </x:c>
      <x:c r="G158" s="6" t="n">
        <x:v>32</x:v>
      </x:c>
      <x:c r="H158" s="10" t="n">
        <x:f>IF(OR(COUNT(G158)=0,COUNT(E158)=0,COUNT(F158)=0),"",G158*F158*1000/E158)</x:f>
        <x:v>32000</x:v>
      </x:c>
      <x:c r="I158" s="10" t="n">
        <x:f>IF(OR(COUNT(E158)=0,COUNT(F158)=0),"",1000*F158/E158)</x:f>
        <x:v>1000</x:v>
      </x:c>
      <x:c r="J158" s="13" t="str">
        <x:f t="shared" si="4">IF(OR(COUNT(H158)=0,COUNT(I158)=0),"",IF(H158&lt;=I158,"YES","no"))</x:f>
        <x:v>no</x:v>
      </x:c>
      <x:c r="K158" s="10" t="n">
        <x:f t="shared" si="5">IF(OR(COUNT(H158)=0,COUNT(I158)=0),"",LOG10(MAX(H158,I158)))</x:f>
        <x:v>4.50514997831991</x:v>
      </x:c>
    </x:row>
    <x:row r="159">
      <x:c r="A159" s="6" t="s">
        <x:v>95</x:v>
      </x:c>
      <x:c r="B159" s="6">
        <x:v>10</x:v>
      </x:c>
      <x:c r="C159" s="6">
        <x:v>1</x:v>
      </x:c>
      <x:c r="D159" s="6">
        <x:v>2</x:v>
      </x:c>
      <x:c r="E159" s="6">
        <x:v>10</x:v>
      </x:c>
      <x:c r="F159" s="6" t="n">
        <x:v>10</x:v>
      </x:c>
      <x:c r="G159" s="6" t="n">
        <x:v>19</x:v>
      </x:c>
      <x:c r="H159" s="10" t="n">
        <x:f>IF(OR(COUNT(G159)=0,COUNT(E159)=0,COUNT(F159)=0),"",G159*F159*1000/E159)</x:f>
        <x:v>19000</x:v>
      </x:c>
      <x:c r="I159" s="10" t="n">
        <x:f>IF(OR(COUNT(E159)=0,COUNT(F159)=0),"",1000*F159/E159)</x:f>
        <x:v>1000</x:v>
      </x:c>
      <x:c r="J159" s="13" t="str">
        <x:f t="shared" si="4">IF(OR(COUNT(H159)=0,COUNT(I159)=0),"",IF(H159&lt;=I159,"YES","no"))</x:f>
        <x:v>no</x:v>
      </x:c>
      <x:c r="K159" s="10" t="n">
        <x:f t="shared" si="5">IF(OR(COUNT(H159)=0,COUNT(I159)=0),"",LOG10(MAX(H159,I159)))</x:f>
        <x:v>4.27875360095283</x:v>
      </x:c>
    </x:row>
    <x:row r="160">
      <x:c r="A160" s="6" t="s">
        <x:v>95</x:v>
      </x:c>
      <x:c r="B160" s="6">
        <x:v>10</x:v>
      </x:c>
      <x:c r="C160" s="6">
        <x:v>1</x:v>
      </x:c>
      <x:c r="D160" s="6">
        <x:v>2</x:v>
      </x:c>
      <x:c r="E160" s="6">
        <x:v>10</x:v>
      </x:c>
      <x:c r="F160" s="6" t="n">
        <x:v>10</x:v>
      </x:c>
      <x:c r="G160" s="6" t="n">
        <x:v>28</x:v>
      </x:c>
      <x:c r="H160" s="10" t="n">
        <x:f>IF(OR(COUNT(G160)=0,COUNT(E160)=0,COUNT(F160)=0),"",G160*F160*1000/E160)</x:f>
        <x:v>28000</x:v>
      </x:c>
      <x:c r="I160" s="10" t="n">
        <x:f>IF(OR(COUNT(E160)=0,COUNT(F160)=0),"",1000*F160/E160)</x:f>
        <x:v>1000</x:v>
      </x:c>
      <x:c r="J160" s="13" t="str">
        <x:f t="shared" si="4">IF(OR(COUNT(H160)=0,COUNT(I160)=0),"",IF(H160&lt;=I160,"YES","no"))</x:f>
        <x:v>no</x:v>
      </x:c>
      <x:c r="K160" s="10" t="n">
        <x:f t="shared" si="5">IF(OR(COUNT(H160)=0,COUNT(I160)=0),"",LOG10(MAX(H160,I160)))</x:f>
        <x:v>4.44715803134222</x:v>
      </x:c>
    </x:row>
    <x:row r="161">
      <x:c r="A161" s="6" t="s">
        <x:v>95</x:v>
      </x:c>
      <x:c r="B161" s="6">
        <x:v>10</x:v>
      </x:c>
      <x:c r="C161" s="6">
        <x:v>1</x:v>
      </x:c>
      <x:c r="D161" s="6">
        <x:v>4</x:v>
      </x:c>
      <x:c r="E161" s="6">
        <x:v>100</x:v>
      </x:c>
      <x:c r="F161" s="6" t="n">
        <x:v>1</x:v>
      </x:c>
      <x:c r="G161" s="6" t="n">
        <x:v>101</x:v>
      </x:c>
      <x:c r="H161" s="10" t="n">
        <x:f>IF(OR(COUNT(G161)=0,COUNT(E161)=0,COUNT(F161)=0),"",G161*F161*1000/E161)</x:f>
        <x:v>1010</x:v>
      </x:c>
      <x:c r="I161" s="10" t="n">
        <x:f>IF(OR(COUNT(E161)=0,COUNT(F161)=0),"",1000*F161/E161)</x:f>
        <x:v>10</x:v>
      </x:c>
      <x:c r="J161" s="13" t="str">
        <x:f t="shared" si="4">IF(OR(COUNT(H161)=0,COUNT(I161)=0),"",IF(H161&lt;=I161,"YES","no"))</x:f>
        <x:v>no</x:v>
      </x:c>
      <x:c r="K161" s="10" t="n">
        <x:f t="shared" si="5">IF(OR(COUNT(H161)=0,COUNT(I161)=0),"",LOG10(MAX(H161,I161)))</x:f>
        <x:v>3.00432137378264</x:v>
      </x:c>
    </x:row>
    <x:row r="162">
      <x:c r="A162" s="6" t="s">
        <x:v>95</x:v>
      </x:c>
      <x:c r="B162" s="6">
        <x:v>10</x:v>
      </x:c>
      <x:c r="C162" s="6">
        <x:v>1</x:v>
      </x:c>
      <x:c r="D162" s="6">
        <x:v>4</x:v>
      </x:c>
      <x:c r="E162" s="6">
        <x:v>100</x:v>
      </x:c>
      <x:c r="F162" s="6" t="n">
        <x:v>1</x:v>
      </x:c>
      <x:c r="G162" s="6" t="n">
        <x:v>90</x:v>
      </x:c>
      <x:c r="H162" s="10" t="n">
        <x:f>IF(OR(COUNT(G162)=0,COUNT(E162)=0,COUNT(F162)=0),"",G162*F162*1000/E162)</x:f>
        <x:v>900</x:v>
      </x:c>
      <x:c r="I162" s="10" t="n">
        <x:f>IF(OR(COUNT(E162)=0,COUNT(F162)=0),"",1000*F162/E162)</x:f>
        <x:v>10</x:v>
      </x:c>
      <x:c r="J162" s="13" t="str">
        <x:f t="shared" si="4">IF(OR(COUNT(H162)=0,COUNT(I162)=0),"",IF(H162&lt;=I162,"YES","no"))</x:f>
        <x:v>no</x:v>
      </x:c>
      <x:c r="K162" s="10" t="n">
        <x:f t="shared" si="5">IF(OR(COUNT(H162)=0,COUNT(I162)=0),"",LOG10(MAX(H162,I162)))</x:f>
        <x:v>2.95424250943932</x:v>
      </x:c>
    </x:row>
    <x:row r="163">
      <x:c r="A163" s="6" t="s">
        <x:v>95</x:v>
      </x:c>
      <x:c r="B163" s="6">
        <x:v>10</x:v>
      </x:c>
      <x:c r="C163" s="6">
        <x:v>1</x:v>
      </x:c>
      <x:c r="D163" s="6">
        <x:v>4</x:v>
      </x:c>
      <x:c r="E163" s="6">
        <x:v>10</x:v>
      </x:c>
      <x:c r="F163" s="6" t="n">
        <x:v>1</x:v>
      </x:c>
      <x:c r="G163" s="6" t="n">
        <x:v>6</x:v>
      </x:c>
      <x:c r="H163" s="10" t="n">
        <x:f>IF(OR(COUNT(G163)=0,COUNT(E163)=0,COUNT(F163)=0),"",G163*F163*1000/E163)</x:f>
        <x:v>600</x:v>
      </x:c>
      <x:c r="I163" s="10" t="n">
        <x:f>IF(OR(COUNT(E163)=0,COUNT(F163)=0),"",1000*F163/E163)</x:f>
        <x:v>100</x:v>
      </x:c>
      <x:c r="J163" s="13" t="str">
        <x:f t="shared" si="4">IF(OR(COUNT(H163)=0,COUNT(I163)=0),"",IF(H163&lt;=I163,"YES","no"))</x:f>
        <x:v>no</x:v>
      </x:c>
      <x:c r="K163" s="10" t="n">
        <x:f t="shared" si="5">IF(OR(COUNT(H163)=0,COUNT(I163)=0),"",LOG10(MAX(H163,I163)))</x:f>
        <x:v>2.77815125038364</x:v>
      </x:c>
    </x:row>
    <x:row r="164">
      <x:c r="A164" s="6" t="s">
        <x:v>95</x:v>
      </x:c>
      <x:c r="B164" s="6">
        <x:v>10</x:v>
      </x:c>
      <x:c r="C164" s="6">
        <x:v>1</x:v>
      </x:c>
      <x:c r="D164" s="6">
        <x:v>4</x:v>
      </x:c>
      <x:c r="E164" s="6">
        <x:v>10</x:v>
      </x:c>
      <x:c r="F164" s="6" t="n">
        <x:v>1</x:v>
      </x:c>
      <x:c r="G164" s="6" t="n">
        <x:v>11</x:v>
      </x:c>
      <x:c r="H164" s="10" t="n">
        <x:f>IF(OR(COUNT(G164)=0,COUNT(E164)=0,COUNT(F164)=0),"",G164*F164*1000/E164)</x:f>
        <x:v>1100</x:v>
      </x:c>
      <x:c r="I164" s="10" t="n">
        <x:f>IF(OR(COUNT(E164)=0,COUNT(F164)=0),"",1000*F164/E164)</x:f>
        <x:v>100</x:v>
      </x:c>
      <x:c r="J164" s="13" t="str">
        <x:f t="shared" si="4">IF(OR(COUNT(H164)=0,COUNT(I164)=0),"",IF(H164&lt;=I164,"YES","no"))</x:f>
        <x:v>no</x:v>
      </x:c>
      <x:c r="K164" s="10" t="n">
        <x:f t="shared" si="5">IF(OR(COUNT(H164)=0,COUNT(I164)=0),"",LOG10(MAX(H164,I164)))</x:f>
        <x:v>3.04139268515822</x:v>
      </x:c>
    </x:row>
    <x:row r="165">
      <x:c r="A165" s="6" t="s">
        <x:v>95</x:v>
      </x:c>
      <x:c r="B165" s="6">
        <x:v>10</x:v>
      </x:c>
      <x:c r="C165" s="6">
        <x:v>1</x:v>
      </x:c>
      <x:c r="D165" s="6">
        <x:v>6</x:v>
      </x:c>
      <x:c r="E165" s="6">
        <x:v>100</x:v>
      </x:c>
      <x:c r="F165" s="6" t="n">
        <x:v>1</x:v>
      </x:c>
      <x:c r="G165" s="6" t="n">
        <x:v>31</x:v>
      </x:c>
      <x:c r="H165" s="10" t="n">
        <x:f>IF(OR(COUNT(G165)=0,COUNT(E165)=0,COUNT(F165)=0),"",G165*F165*1000/E165)</x:f>
        <x:v>310</x:v>
      </x:c>
      <x:c r="I165" s="10" t="n">
        <x:f>IF(OR(COUNT(E165)=0,COUNT(F165)=0),"",1000*F165/E165)</x:f>
        <x:v>10</x:v>
      </x:c>
      <x:c r="J165" s="13" t="str">
        <x:f t="shared" si="4">IF(OR(COUNT(H165)=0,COUNT(I165)=0),"",IF(H165&lt;=I165,"YES","no"))</x:f>
        <x:v>no</x:v>
      </x:c>
      <x:c r="K165" s="10" t="n">
        <x:f t="shared" si="5">IF(OR(COUNT(H165)=0,COUNT(I165)=0),"",LOG10(MAX(H165,I165)))</x:f>
        <x:v>2.49136169383427</x:v>
      </x:c>
    </x:row>
    <x:row r="166">
      <x:c r="A166" s="6" t="s">
        <x:v>95</x:v>
      </x:c>
      <x:c r="B166" s="6">
        <x:v>10</x:v>
      </x:c>
      <x:c r="C166" s="6">
        <x:v>1</x:v>
      </x:c>
      <x:c r="D166" s="6">
        <x:v>6</x:v>
      </x:c>
      <x:c r="E166" s="6">
        <x:v>100</x:v>
      </x:c>
      <x:c r="F166" s="6" t="n">
        <x:v>1</x:v>
      </x:c>
      <x:c r="G166" s="6" t="n">
        <x:v>32</x:v>
      </x:c>
      <x:c r="H166" s="10" t="n">
        <x:f>IF(OR(COUNT(G166)=0,COUNT(E166)=0,COUNT(F166)=0),"",G166*F166*1000/E166)</x:f>
        <x:v>320</x:v>
      </x:c>
      <x:c r="I166" s="10" t="n">
        <x:f>IF(OR(COUNT(E166)=0,COUNT(F166)=0),"",1000*F166/E166)</x:f>
        <x:v>10</x:v>
      </x:c>
      <x:c r="J166" s="13" t="str">
        <x:f t="shared" si="4">IF(OR(COUNT(H166)=0,COUNT(I166)=0),"",IF(H166&lt;=I166,"YES","no"))</x:f>
        <x:v>no</x:v>
      </x:c>
      <x:c r="K166" s="10" t="n">
        <x:f t="shared" si="5">IF(OR(COUNT(H166)=0,COUNT(I166)=0),"",LOG10(MAX(H166,I166)))</x:f>
        <x:v>2.50514997831991</x:v>
      </x:c>
    </x:row>
    <x:row r="167">
      <x:c r="A167" s="6" t="s">
        <x:v>95</x:v>
      </x:c>
      <x:c r="B167" s="6">
        <x:v>10</x:v>
      </x:c>
      <x:c r="C167" s="6">
        <x:v>1</x:v>
      </x:c>
      <x:c r="D167" s="6">
        <x:v>6</x:v>
      </x:c>
      <x:c r="E167" s="6">
        <x:v>10</x:v>
      </x:c>
      <x:c r="F167" s="6" t="n">
        <x:v>1</x:v>
      </x:c>
      <x:c r="G167" s="6" t="n">
        <x:v>8</x:v>
      </x:c>
      <x:c r="H167" s="10" t="n">
        <x:f>IF(OR(COUNT(G167)=0,COUNT(E167)=0,COUNT(F167)=0),"",G167*F167*1000/E167)</x:f>
        <x:v>800</x:v>
      </x:c>
      <x:c r="I167" s="10" t="n">
        <x:f>IF(OR(COUNT(E167)=0,COUNT(F167)=0),"",1000*F167/E167)</x:f>
        <x:v>100</x:v>
      </x:c>
      <x:c r="J167" s="13" t="str">
        <x:f t="shared" si="4">IF(OR(COUNT(H167)=0,COUNT(I167)=0),"",IF(H167&lt;=I167,"YES","no"))</x:f>
        <x:v>no</x:v>
      </x:c>
      <x:c r="K167" s="10" t="n">
        <x:f t="shared" si="5">IF(OR(COUNT(H167)=0,COUNT(I167)=0),"",LOG10(MAX(H167,I167)))</x:f>
        <x:v>2.90308998699194</x:v>
      </x:c>
    </x:row>
    <x:row r="168">
      <x:c r="A168" s="6" t="s">
        <x:v>95</x:v>
      </x:c>
      <x:c r="B168" s="6">
        <x:v>10</x:v>
      </x:c>
      <x:c r="C168" s="6">
        <x:v>1</x:v>
      </x:c>
      <x:c r="D168" s="6">
        <x:v>6</x:v>
      </x:c>
      <x:c r="E168" s="6">
        <x:v>10</x:v>
      </x:c>
      <x:c r="F168" s="6" t="n">
        <x:v>1</x:v>
      </x:c>
      <x:c r="G168" s="6" t="n">
        <x:v>7</x:v>
      </x:c>
      <x:c r="H168" s="10" t="n">
        <x:f>IF(OR(COUNT(G168)=0,COUNT(E168)=0,COUNT(F168)=0),"",G168*F168*1000/E168)</x:f>
        <x:v>700</x:v>
      </x:c>
      <x:c r="I168" s="10" t="n">
        <x:f>IF(OR(COUNT(E168)=0,COUNT(F168)=0),"",1000*F168/E168)</x:f>
        <x:v>100</x:v>
      </x:c>
      <x:c r="J168" s="13" t="str">
        <x:f t="shared" si="4">IF(OR(COUNT(H168)=0,COUNT(I168)=0),"",IF(H168&lt;=I168,"YES","no"))</x:f>
        <x:v>no</x:v>
      </x:c>
      <x:c r="K168" s="10" t="n">
        <x:f t="shared" si="5">IF(OR(COUNT(H168)=0,COUNT(I168)=0),"",LOG10(MAX(H168,I168)))</x:f>
        <x:v>2.84509804001426</x:v>
      </x:c>
    </x:row>
    <x:row r="169">
      <x:c r="A169" s="6" t="s">
        <x:v>95</x:v>
      </x:c>
      <x:c r="B169" s="6">
        <x:v>10</x:v>
      </x:c>
      <x:c r="C169" s="6">
        <x:v>1</x:v>
      </x:c>
      <x:c r="D169" s="6">
        <x:v>24</x:v>
      </x:c>
      <x:c r="E169" s="6">
        <x:v>100</x:v>
      </x:c>
      <x:c r="F169" s="6" t="n">
        <x:v>1</x:v>
      </x:c>
      <x:c r="G169" s="6" t="n">
        <x:v>1</x:v>
      </x:c>
      <x:c r="H169" s="10" t="n">
        <x:f>IF(OR(COUNT(G169)=0,COUNT(E169)=0,COUNT(F169)=0),"",G169*F169*1000/E169)</x:f>
        <x:v>10</x:v>
      </x:c>
      <x:c r="I169" s="10" t="n">
        <x:f>IF(OR(COUNT(E169)=0,COUNT(F169)=0),"",1000*F169/E169)</x:f>
        <x:v>10</x:v>
      </x:c>
      <x:c r="J169" s="13" t="str">
        <x:f t="shared" si="4">IF(OR(COUNT(H169)=0,COUNT(I169)=0),"",IF(H169&lt;=I169,"YES","no"))</x:f>
        <x:v>YES</x:v>
      </x:c>
      <x:c r="K169" s="10" t="n">
        <x:f t="shared" si="5">IF(OR(COUNT(H169)=0,COUNT(I169)=0),"",LOG10(MAX(H169,I169)))</x:f>
        <x:v>1</x:v>
      </x:c>
    </x:row>
    <x:row r="170">
      <x:c r="A170" s="6" t="s">
        <x:v>95</x:v>
      </x:c>
      <x:c r="B170" s="6">
        <x:v>10</x:v>
      </x:c>
      <x:c r="C170" s="6">
        <x:v>1</x:v>
      </x:c>
      <x:c r="D170" s="6">
        <x:v>24</x:v>
      </x:c>
      <x:c r="E170" s="6">
        <x:v>100</x:v>
      </x:c>
      <x:c r="F170" s="6" t="n">
        <x:v>1</x:v>
      </x:c>
      <x:c r="G170" s="6" t="n">
        <x:v>2</x:v>
      </x:c>
      <x:c r="H170" s="10" t="n">
        <x:f>IF(OR(COUNT(G170)=0,COUNT(E170)=0,COUNT(F170)=0),"",G170*F170*1000/E170)</x:f>
        <x:v>20</x:v>
      </x:c>
      <x:c r="I170" s="10" t="n">
        <x:f>IF(OR(COUNT(E170)=0,COUNT(F170)=0),"",1000*F170/E170)</x:f>
        <x:v>10</x:v>
      </x:c>
      <x:c r="J170" s="13" t="str">
        <x:f t="shared" si="4">IF(OR(COUNT(H170)=0,COUNT(I170)=0),"",IF(H170&lt;=I170,"YES","no"))</x:f>
        <x:v>no</x:v>
      </x:c>
      <x:c r="K170" s="10" t="n">
        <x:f t="shared" si="5">IF(OR(COUNT(H170)=0,COUNT(I170)=0),"",LOG10(MAX(H170,I170)))</x:f>
        <x:v>1.30102999566398</x:v>
      </x:c>
    </x:row>
    <x:row r="171">
      <x:c r="A171" s="6" t="s">
        <x:v>95</x:v>
      </x:c>
      <x:c r="B171" s="6">
        <x:v>10</x:v>
      </x:c>
      <x:c r="C171" s="6">
        <x:v>1</x:v>
      </x:c>
      <x:c r="D171" s="6">
        <x:v>24</x:v>
      </x:c>
      <x:c r="E171" s="6">
        <x:v>10</x:v>
      </x:c>
      <x:c r="F171" s="6" t="n">
        <x:v>1</x:v>
      </x:c>
      <x:c r="G171" s="6" t="n">
        <x:v>1</x:v>
      </x:c>
      <x:c r="H171" s="10" t="n">
        <x:f>IF(OR(COUNT(G171)=0,COUNT(E171)=0,COUNT(F171)=0),"",G171*F171*1000/E171)</x:f>
        <x:v>100</x:v>
      </x:c>
      <x:c r="I171" s="10" t="n">
        <x:f>IF(OR(COUNT(E171)=0,COUNT(F171)=0),"",1000*F171/E171)</x:f>
        <x:v>100</x:v>
      </x:c>
      <x:c r="J171" s="13" t="str">
        <x:f t="shared" si="4">IF(OR(COUNT(H171)=0,COUNT(I171)=0),"",IF(H171&lt;=I171,"YES","no"))</x:f>
        <x:v>YES</x:v>
      </x:c>
      <x:c r="K171" s="10" t="n">
        <x:f t="shared" si="5">IF(OR(COUNT(H171)=0,COUNT(I171)=0),"",LOG10(MAX(H171,I171)))</x:f>
        <x:v>2</x:v>
      </x:c>
    </x:row>
    <x:row r="172">
      <x:c r="A172" s="6" t="s">
        <x:v>95</x:v>
      </x:c>
      <x:c r="B172" s="6">
        <x:v>10</x:v>
      </x:c>
      <x:c r="C172" s="6">
        <x:v>1</x:v>
      </x:c>
      <x:c r="D172" s="6">
        <x:v>24</x:v>
      </x:c>
      <x:c r="E172" s="6">
        <x:v>10</x:v>
      </x:c>
      <x:c r="F172" s="6" t="n">
        <x:v>1</x:v>
      </x:c>
      <x:c r="G172" s="6" t="n">
        <x:v>1</x:v>
      </x:c>
      <x:c r="H172" s="10" t="n">
        <x:f>IF(OR(COUNT(G172)=0,COUNT(E172)=0,COUNT(F172)=0),"",G172*F172*1000/E172)</x:f>
        <x:v>100</x:v>
      </x:c>
      <x:c r="I172" s="10" t="n">
        <x:f>IF(OR(COUNT(E172)=0,COUNT(F172)=0),"",1000*F172/E172)</x:f>
        <x:v>100</x:v>
      </x:c>
      <x:c r="J172" s="13" t="str">
        <x:f t="shared" si="4">IF(OR(COUNT(H172)=0,COUNT(I172)=0),"",IF(H172&lt;=I172,"YES","no"))</x:f>
        <x:v>YES</x:v>
      </x:c>
      <x:c r="K172" s="10" t="n">
        <x:f t="shared" si="5">IF(OR(COUNT(H172)=0,COUNT(I172)=0),"",LOG10(MAX(H172,I172)))</x:f>
        <x:v>2</x:v>
      </x:c>
    </x:row>
    <x:row r="173">
      <x:c r="A173" s="6" t="s">
        <x:v>95</x:v>
      </x:c>
      <x:c r="B173" s="6">
        <x:v>10</x:v>
      </x:c>
      <x:c r="C173" s="6">
        <x:v>2</x:v>
      </x:c>
      <x:c r="D173" s="6">
        <x:v>0</x:v>
      </x:c>
      <x:c r="E173" s="6">
        <x:v>100</x:v>
      </x:c>
      <x:c r="F173" s="6" t="n">
        <x:v>10000</x:v>
      </x:c>
      <x:c r="G173" s="6" t="n">
        <x:v>37</x:v>
      </x:c>
      <x:c r="H173" s="10" t="n">
        <x:f>IF(OR(COUNT(G173)=0,COUNT(E173)=0,COUNT(F173)=0),"",G173*F173*1000/E173)</x:f>
        <x:v>3700000</x:v>
      </x:c>
      <x:c r="I173" s="10" t="n">
        <x:f>IF(OR(COUNT(E173)=0,COUNT(F173)=0),"",1000*F173/E173)</x:f>
        <x:v>100000</x:v>
      </x:c>
      <x:c r="J173" s="13" t="str">
        <x:f t="shared" si="4">IF(OR(COUNT(H173)=0,COUNT(I173)=0),"",IF(H173&lt;=I173,"YES","no"))</x:f>
        <x:v>no</x:v>
      </x:c>
      <x:c r="K173" s="10" t="n">
        <x:f t="shared" si="5">IF(OR(COUNT(H173)=0,COUNT(I173)=0),"",LOG10(MAX(H173,I173)))</x:f>
        <x:v>6.56820172406699</x:v>
      </x:c>
    </x:row>
    <x:row r="174">
      <x:c r="A174" s="6" t="s">
        <x:v>95</x:v>
      </x:c>
      <x:c r="B174" s="6">
        <x:v>10</x:v>
      </x:c>
      <x:c r="C174" s="6">
        <x:v>2</x:v>
      </x:c>
      <x:c r="D174" s="6">
        <x:v>0</x:v>
      </x:c>
      <x:c r="E174" s="6">
        <x:v>100</x:v>
      </x:c>
      <x:c r="F174" s="6" t="n">
        <x:v>10000</x:v>
      </x:c>
      <x:c r="G174" s="6" t="n">
        <x:v>29</x:v>
      </x:c>
      <x:c r="H174" s="10" t="n">
        <x:f>IF(OR(COUNT(G174)=0,COUNT(E174)=0,COUNT(F174)=0),"",G174*F174*1000/E174)</x:f>
        <x:v>2900000</x:v>
      </x:c>
      <x:c r="I174" s="10" t="n">
        <x:f>IF(OR(COUNT(E174)=0,COUNT(F174)=0),"",1000*F174/E174)</x:f>
        <x:v>100000</x:v>
      </x:c>
      <x:c r="J174" s="13" t="str">
        <x:f t="shared" si="4">IF(OR(COUNT(H174)=0,COUNT(I174)=0),"",IF(H174&lt;=I174,"YES","no"))</x:f>
        <x:v>no</x:v>
      </x:c>
      <x:c r="K174" s="10" t="n">
        <x:f t="shared" si="5">IF(OR(COUNT(H174)=0,COUNT(I174)=0),"",LOG10(MAX(H174,I174)))</x:f>
        <x:v>6.46239799789896</x:v>
      </x:c>
    </x:row>
    <x:row r="175">
      <x:c r="A175" s="6" t="s">
        <x:v>95</x:v>
      </x:c>
      <x:c r="B175" s="6">
        <x:v>10</x:v>
      </x:c>
      <x:c r="C175" s="6">
        <x:v>2</x:v>
      </x:c>
      <x:c r="D175" s="6">
        <x:v>0</x:v>
      </x:c>
      <x:c r="E175" s="6">
        <x:v>10</x:v>
      </x:c>
      <x:c r="F175" s="6" t="n">
        <x:v>1000</x:v>
      </x:c>
      <x:c r="G175" s="6" t="n">
        <x:v>55</x:v>
      </x:c>
      <x:c r="H175" s="10" t="n">
        <x:f>IF(OR(COUNT(G175)=0,COUNT(E175)=0,COUNT(F175)=0),"",G175*F175*1000/E175)</x:f>
        <x:v>5500000</x:v>
      </x:c>
      <x:c r="I175" s="10" t="n">
        <x:f>IF(OR(COUNT(E175)=0,COUNT(F175)=0),"",1000*F175/E175)</x:f>
        <x:v>100000</x:v>
      </x:c>
      <x:c r="J175" s="13" t="str">
        <x:f t="shared" si="4">IF(OR(COUNT(H175)=0,COUNT(I175)=0),"",IF(H175&lt;=I175,"YES","no"))</x:f>
        <x:v>no</x:v>
      </x:c>
      <x:c r="K175" s="10" t="n">
        <x:f t="shared" si="5">IF(OR(COUNT(H175)=0,COUNT(I175)=0),"",LOG10(MAX(H175,I175)))</x:f>
        <x:v>6.74036268949424</x:v>
      </x:c>
    </x:row>
    <x:row r="176">
      <x:c r="A176" s="6" t="s">
        <x:v>95</x:v>
      </x:c>
      <x:c r="B176" s="6">
        <x:v>10</x:v>
      </x:c>
      <x:c r="C176" s="6">
        <x:v>2</x:v>
      </x:c>
      <x:c r="D176" s="6">
        <x:v>0</x:v>
      </x:c>
      <x:c r="E176" s="6">
        <x:v>10</x:v>
      </x:c>
      <x:c r="F176" s="6" t="n">
        <x:v>1000</x:v>
      </x:c>
      <x:c r="G176" s="6" t="n">
        <x:v>34</x:v>
      </x:c>
      <x:c r="H176" s="10" t="n">
        <x:f>IF(OR(COUNT(G176)=0,COUNT(E176)=0,COUNT(F176)=0),"",G176*F176*1000/E176)</x:f>
        <x:v>3400000</x:v>
      </x:c>
      <x:c r="I176" s="10" t="n">
        <x:f>IF(OR(COUNT(E176)=0,COUNT(F176)=0),"",1000*F176/E176)</x:f>
        <x:v>100000</x:v>
      </x:c>
      <x:c r="J176" s="13" t="str">
        <x:f t="shared" si="4">IF(OR(COUNT(H176)=0,COUNT(I176)=0),"",IF(H176&lt;=I176,"YES","no"))</x:f>
        <x:v>no</x:v>
      </x:c>
      <x:c r="K176" s="10" t="n">
        <x:f t="shared" si="5">IF(OR(COUNT(H176)=0,COUNT(I176)=0),"",LOG10(MAX(H176,I176)))</x:f>
        <x:v>6.53147891704225</x:v>
      </x:c>
    </x:row>
    <x:row r="177">
      <x:c r="A177" s="6" t="s">
        <x:v>95</x:v>
      </x:c>
      <x:c r="B177" s="6">
        <x:v>10</x:v>
      </x:c>
      <x:c r="C177" s="6">
        <x:v>2</x:v>
      </x:c>
      <x:c r="D177" s="6">
        <x:v>1</x:v>
      </x:c>
      <x:c r="E177" s="6">
        <x:v>100</x:v>
      </x:c>
      <x:c r="F177" s="6" t="n">
        <x:v>100</x:v>
      </x:c>
      <x:c r="G177" s="6" t="n">
        <x:v>186</x:v>
      </x:c>
      <x:c r="H177" s="10" t="n">
        <x:f>IF(OR(COUNT(G177)=0,COUNT(E177)=0,COUNT(F177)=0),"",G177*F177*1000/E177)</x:f>
        <x:v>186000</x:v>
      </x:c>
      <x:c r="I177" s="10" t="n">
        <x:f>IF(OR(COUNT(E177)=0,COUNT(F177)=0),"",1000*F177/E177)</x:f>
        <x:v>1000</x:v>
      </x:c>
      <x:c r="J177" s="13" t="str">
        <x:f t="shared" si="4">IF(OR(COUNT(H177)=0,COUNT(I177)=0),"",IF(H177&lt;=I177,"YES","no"))</x:f>
        <x:v>no</x:v>
      </x:c>
      <x:c r="K177" s="10" t="n">
        <x:f t="shared" si="5">IF(OR(COUNT(H177)=0,COUNT(I177)=0),"",LOG10(MAX(H177,I177)))</x:f>
        <x:v>5.26951294421792</x:v>
      </x:c>
    </x:row>
    <x:row r="178">
      <x:c r="A178" s="6" t="s">
        <x:v>95</x:v>
      </x:c>
      <x:c r="B178" s="6">
        <x:v>10</x:v>
      </x:c>
      <x:c r="C178" s="6">
        <x:v>2</x:v>
      </x:c>
      <x:c r="D178" s="6">
        <x:v>1</x:v>
      </x:c>
      <x:c r="E178" s="6">
        <x:v>100</x:v>
      </x:c>
      <x:c r="F178" s="6" t="n">
        <x:v>100</x:v>
      </x:c>
      <x:c r="G178" s="6" t="n">
        <x:v>179</x:v>
      </x:c>
      <x:c r="H178" s="10" t="n">
        <x:f>IF(OR(COUNT(G178)=0,COUNT(E178)=0,COUNT(F178)=0),"",G178*F178*1000/E178)</x:f>
        <x:v>179000</x:v>
      </x:c>
      <x:c r="I178" s="10" t="n">
        <x:f>IF(OR(COUNT(E178)=0,COUNT(F178)=0),"",1000*F178/E178)</x:f>
        <x:v>1000</x:v>
      </x:c>
      <x:c r="J178" s="13" t="str">
        <x:f t="shared" si="4">IF(OR(COUNT(H178)=0,COUNT(I178)=0),"",IF(H178&lt;=I178,"YES","no"))</x:f>
        <x:v>no</x:v>
      </x:c>
      <x:c r="K178" s="10" t="n">
        <x:f t="shared" si="5">IF(OR(COUNT(H178)=0,COUNT(I178)=0),"",LOG10(MAX(H178,I178)))</x:f>
        <x:v>5.25285303097989</x:v>
      </x:c>
    </x:row>
    <x:row r="179">
      <x:c r="A179" s="6" t="s">
        <x:v>95</x:v>
      </x:c>
      <x:c r="B179" s="6">
        <x:v>10</x:v>
      </x:c>
      <x:c r="C179" s="6">
        <x:v>2</x:v>
      </x:c>
      <x:c r="D179" s="6">
        <x:v>1</x:v>
      </x:c>
      <x:c r="E179" s="6">
        <x:v>10</x:v>
      </x:c>
      <x:c r="F179" s="6" t="n">
        <x:v>10</x:v>
      </x:c>
      <x:c r="G179" s="6" t="n">
        <x:v>139</x:v>
      </x:c>
      <x:c r="H179" s="10" t="n">
        <x:f>IF(OR(COUNT(G179)=0,COUNT(E179)=0,COUNT(F179)=0),"",G179*F179*1000/E179)</x:f>
        <x:v>139000</x:v>
      </x:c>
      <x:c r="I179" s="10" t="n">
        <x:f>IF(OR(COUNT(E179)=0,COUNT(F179)=0),"",1000*F179/E179)</x:f>
        <x:v>1000</x:v>
      </x:c>
      <x:c r="J179" s="13" t="str">
        <x:f t="shared" si="4">IF(OR(COUNT(H179)=0,COUNT(I179)=0),"",IF(H179&lt;=I179,"YES","no"))</x:f>
        <x:v>no</x:v>
      </x:c>
      <x:c r="K179" s="10" t="n">
        <x:f t="shared" si="5">IF(OR(COUNT(H179)=0,COUNT(I179)=0),"",LOG10(MAX(H179,I179)))</x:f>
        <x:v>5.14301480025409</x:v>
      </x:c>
    </x:row>
    <x:row r="180">
      <x:c r="A180" s="6" t="s">
        <x:v>95</x:v>
      </x:c>
      <x:c r="B180" s="6">
        <x:v>10</x:v>
      </x:c>
      <x:c r="C180" s="6">
        <x:v>2</x:v>
      </x:c>
      <x:c r="D180" s="6">
        <x:v>1</x:v>
      </x:c>
      <x:c r="E180" s="6">
        <x:v>10</x:v>
      </x:c>
      <x:c r="F180" s="6" t="n">
        <x:v>10</x:v>
      </x:c>
      <x:c r="G180" s="6" t="n">
        <x:v>192</x:v>
      </x:c>
      <x:c r="H180" s="10" t="n">
        <x:f>IF(OR(COUNT(G180)=0,COUNT(E180)=0,COUNT(F180)=0),"",G180*F180*1000/E180)</x:f>
        <x:v>192000</x:v>
      </x:c>
      <x:c r="I180" s="10" t="n">
        <x:f>IF(OR(COUNT(E180)=0,COUNT(F180)=0),"",1000*F180/E180)</x:f>
        <x:v>1000</x:v>
      </x:c>
      <x:c r="J180" s="13" t="str">
        <x:f t="shared" si="4">IF(OR(COUNT(H180)=0,COUNT(I180)=0),"",IF(H180&lt;=I180,"YES","no"))</x:f>
        <x:v>no</x:v>
      </x:c>
      <x:c r="K180" s="10" t="n">
        <x:f t="shared" si="5">IF(OR(COUNT(H180)=0,COUNT(I180)=0),"",LOG10(MAX(H180,I180)))</x:f>
        <x:v>5.28330122870355</x:v>
      </x:c>
    </x:row>
    <x:row r="181">
      <x:c r="A181" s="6" t="s">
        <x:v>95</x:v>
      </x:c>
      <x:c r="B181" s="6">
        <x:v>10</x:v>
      </x:c>
      <x:c r="C181" s="6">
        <x:v>2</x:v>
      </x:c>
      <x:c r="D181" s="6">
        <x:v>2</x:v>
      </x:c>
      <x:c r="E181" s="6">
        <x:v>100</x:v>
      </x:c>
      <x:c r="F181" s="6" t="n">
        <x:v>10</x:v>
      </x:c>
      <x:c r="G181" s="6" t="n">
        <x:v>108</x:v>
      </x:c>
      <x:c r="H181" s="10" t="n">
        <x:f>IF(OR(COUNT(G181)=0,COUNT(E181)=0,COUNT(F181)=0),"",G181*F181*1000/E181)</x:f>
        <x:v>10800</x:v>
      </x:c>
      <x:c r="I181" s="10" t="n">
        <x:f>IF(OR(COUNT(E181)=0,COUNT(F181)=0),"",1000*F181/E181)</x:f>
        <x:v>100</x:v>
      </x:c>
      <x:c r="J181" s="13" t="str">
        <x:f t="shared" si="4">IF(OR(COUNT(H181)=0,COUNT(I181)=0),"",IF(H181&lt;=I181,"YES","no"))</x:f>
        <x:v>no</x:v>
      </x:c>
      <x:c r="K181" s="10" t="n">
        <x:f t="shared" si="5">IF(OR(COUNT(H181)=0,COUNT(I181)=0),"",LOG10(MAX(H181,I181)))</x:f>
        <x:v>4.03342375548695</x:v>
      </x:c>
    </x:row>
    <x:row r="182">
      <x:c r="A182" s="6" t="s">
        <x:v>95</x:v>
      </x:c>
      <x:c r="B182" s="6">
        <x:v>10</x:v>
      </x:c>
      <x:c r="C182" s="6">
        <x:v>2</x:v>
      </x:c>
      <x:c r="D182" s="6">
        <x:v>2</x:v>
      </x:c>
      <x:c r="E182" s="6">
        <x:v>100</x:v>
      </x:c>
      <x:c r="F182" s="6" t="n">
        <x:v>10</x:v>
      </x:c>
      <x:c r="G182" s="6" t="n">
        <x:v>108</x:v>
      </x:c>
      <x:c r="H182" s="10" t="n">
        <x:f>IF(OR(COUNT(G182)=0,COUNT(E182)=0,COUNT(F182)=0),"",G182*F182*1000/E182)</x:f>
        <x:v>10800</x:v>
      </x:c>
      <x:c r="I182" s="10" t="n">
        <x:f>IF(OR(COUNT(E182)=0,COUNT(F182)=0),"",1000*F182/E182)</x:f>
        <x:v>100</x:v>
      </x:c>
      <x:c r="J182" s="13" t="str">
        <x:f t="shared" si="4">IF(OR(COUNT(H182)=0,COUNT(I182)=0),"",IF(H182&lt;=I182,"YES","no"))</x:f>
        <x:v>no</x:v>
      </x:c>
      <x:c r="K182" s="10" t="n">
        <x:f t="shared" si="5">IF(OR(COUNT(H182)=0,COUNT(I182)=0),"",LOG10(MAX(H182,I182)))</x:f>
        <x:v>4.03342375548695</x:v>
      </x:c>
    </x:row>
    <x:row r="183">
      <x:c r="A183" s="6" t="s">
        <x:v>95</x:v>
      </x:c>
      <x:c r="B183" s="6">
        <x:v>10</x:v>
      </x:c>
      <x:c r="C183" s="6">
        <x:v>2</x:v>
      </x:c>
      <x:c r="D183" s="6">
        <x:v>2</x:v>
      </x:c>
      <x:c r="E183" s="6">
        <x:v>10</x:v>
      </x:c>
      <x:c r="F183" s="6" t="n">
        <x:v>1</x:v>
      </x:c>
      <x:c r="G183" s="6" t="n">
        <x:v>115</x:v>
      </x:c>
      <x:c r="H183" s="10" t="n">
        <x:f>IF(OR(COUNT(G183)=0,COUNT(E183)=0,COUNT(F183)=0),"",G183*F183*1000/E183)</x:f>
        <x:v>11500</x:v>
      </x:c>
      <x:c r="I183" s="10" t="n">
        <x:f>IF(OR(COUNT(E183)=0,COUNT(F183)=0),"",1000*F183/E183)</x:f>
        <x:v>100</x:v>
      </x:c>
      <x:c r="J183" s="13" t="str">
        <x:f t="shared" si="4">IF(OR(COUNT(H183)=0,COUNT(I183)=0),"",IF(H183&lt;=I183,"YES","no"))</x:f>
        <x:v>no</x:v>
      </x:c>
      <x:c r="K183" s="10" t="n">
        <x:f t="shared" si="5">IF(OR(COUNT(H183)=0,COUNT(I183)=0),"",LOG10(MAX(H183,I183)))</x:f>
        <x:v>4.06069784035361</x:v>
      </x:c>
    </x:row>
    <x:row r="184">
      <x:c r="A184" s="6" t="s">
        <x:v>95</x:v>
      </x:c>
      <x:c r="B184" s="6">
        <x:v>10</x:v>
      </x:c>
      <x:c r="C184" s="6">
        <x:v>2</x:v>
      </x:c>
      <x:c r="D184" s="6">
        <x:v>2</x:v>
      </x:c>
      <x:c r="E184" s="6">
        <x:v>10</x:v>
      </x:c>
      <x:c r="F184" s="6" t="n">
        <x:v>1</x:v>
      </x:c>
      <x:c r="G184" s="6" t="n">
        <x:v>147</x:v>
      </x:c>
      <x:c r="H184" s="10" t="n">
        <x:f>IF(OR(COUNT(G184)=0,COUNT(E184)=0,COUNT(F184)=0),"",G184*F184*1000/E184)</x:f>
        <x:v>14700</x:v>
      </x:c>
      <x:c r="I184" s="10" t="n">
        <x:f>IF(OR(COUNT(E184)=0,COUNT(F184)=0),"",1000*F184/E184)</x:f>
        <x:v>100</x:v>
      </x:c>
      <x:c r="J184" s="13" t="str">
        <x:f t="shared" si="4">IF(OR(COUNT(H184)=0,COUNT(I184)=0),"",IF(H184&lt;=I184,"YES","no"))</x:f>
        <x:v>no</x:v>
      </x:c>
      <x:c r="K184" s="10" t="n">
        <x:f t="shared" si="5">IF(OR(COUNT(H184)=0,COUNT(I184)=0),"",LOG10(MAX(H184,I184)))</x:f>
        <x:v>4.16731733474818</x:v>
      </x:c>
    </x:row>
    <x:row r="185">
      <x:c r="A185" s="6" t="s">
        <x:v>95</x:v>
      </x:c>
      <x:c r="B185" s="6">
        <x:v>10</x:v>
      </x:c>
      <x:c r="C185" s="6">
        <x:v>2</x:v>
      </x:c>
      <x:c r="D185" s="6">
        <x:v>4</x:v>
      </x:c>
      <x:c r="E185" s="6">
        <x:v>100</x:v>
      </x:c>
      <x:c r="F185" s="6" t="n">
        <x:v>1</x:v>
      </x:c>
      <x:c r="G185" s="6" t="n">
        <x:v>78</x:v>
      </x:c>
      <x:c r="H185" s="10" t="n">
        <x:f>IF(OR(COUNT(G185)=0,COUNT(E185)=0,COUNT(F185)=0),"",G185*F185*1000/E185)</x:f>
        <x:v>780</x:v>
      </x:c>
      <x:c r="I185" s="10" t="n">
        <x:f>IF(OR(COUNT(E185)=0,COUNT(F185)=0),"",1000*F185/E185)</x:f>
        <x:v>10</x:v>
      </x:c>
      <x:c r="J185" s="13" t="str">
        <x:f t="shared" si="4">IF(OR(COUNT(H185)=0,COUNT(I185)=0),"",IF(H185&lt;=I185,"YES","no"))</x:f>
        <x:v>no</x:v>
      </x:c>
      <x:c r="K185" s="10" t="n">
        <x:f t="shared" si="5">IF(OR(COUNT(H185)=0,COUNT(I185)=0),"",LOG10(MAX(H185,I185)))</x:f>
        <x:v>2.89209460269048</x:v>
      </x:c>
    </x:row>
    <x:row r="186">
      <x:c r="A186" s="6" t="s">
        <x:v>95</x:v>
      </x:c>
      <x:c r="B186" s="6">
        <x:v>10</x:v>
      </x:c>
      <x:c r="C186" s="6">
        <x:v>2</x:v>
      </x:c>
      <x:c r="D186" s="6">
        <x:v>4</x:v>
      </x:c>
      <x:c r="E186" s="6">
        <x:v>100</x:v>
      </x:c>
      <x:c r="F186" s="6" t="n">
        <x:v>1</x:v>
      </x:c>
      <x:c r="G186" s="6" t="n">
        <x:v>65</x:v>
      </x:c>
      <x:c r="H186" s="10" t="n">
        <x:f>IF(OR(COUNT(G186)=0,COUNT(E186)=0,COUNT(F186)=0),"",G186*F186*1000/E186)</x:f>
        <x:v>650</x:v>
      </x:c>
      <x:c r="I186" s="10" t="n">
        <x:f>IF(OR(COUNT(E186)=0,COUNT(F186)=0),"",1000*F186/E186)</x:f>
        <x:v>10</x:v>
      </x:c>
      <x:c r="J186" s="13" t="str">
        <x:f t="shared" si="4">IF(OR(COUNT(H186)=0,COUNT(I186)=0),"",IF(H186&lt;=I186,"YES","no"))</x:f>
        <x:v>no</x:v>
      </x:c>
      <x:c r="K186" s="10" t="n">
        <x:f t="shared" si="5">IF(OR(COUNT(H186)=0,COUNT(I186)=0),"",LOG10(MAX(H186,I186)))</x:f>
        <x:v>2.81291335664286</x:v>
      </x:c>
    </x:row>
    <x:row r="187">
      <x:c r="A187" s="6" t="s">
        <x:v>95</x:v>
      </x:c>
      <x:c r="B187" s="6">
        <x:v>10</x:v>
      </x:c>
      <x:c r="C187" s="6">
        <x:v>2</x:v>
      </x:c>
      <x:c r="D187" s="6">
        <x:v>4</x:v>
      </x:c>
      <x:c r="E187" s="6">
        <x:v>10</x:v>
      </x:c>
      <x:c r="F187" s="6" t="n">
        <x:v>1</x:v>
      </x:c>
      <x:c r="G187" s="6" t="n">
        <x:v>12</x:v>
      </x:c>
      <x:c r="H187" s="10" t="n">
        <x:f>IF(OR(COUNT(G187)=0,COUNT(E187)=0,COUNT(F187)=0),"",G187*F187*1000/E187)</x:f>
        <x:v>1200</x:v>
      </x:c>
      <x:c r="I187" s="10" t="n">
        <x:f>IF(OR(COUNT(E187)=0,COUNT(F187)=0),"",1000*F187/E187)</x:f>
        <x:v>100</x:v>
      </x:c>
      <x:c r="J187" s="13" t="str">
        <x:f t="shared" si="4">IF(OR(COUNT(H187)=0,COUNT(I187)=0),"",IF(H187&lt;=I187,"YES","no"))</x:f>
        <x:v>no</x:v>
      </x:c>
      <x:c r="K187" s="10" t="n">
        <x:f t="shared" si="5">IF(OR(COUNT(H187)=0,COUNT(I187)=0),"",LOG10(MAX(H187,I187)))</x:f>
        <x:v>3.07918124604762</x:v>
      </x:c>
    </x:row>
    <x:row r="188">
      <x:c r="A188" s="6" t="s">
        <x:v>95</x:v>
      </x:c>
      <x:c r="B188" s="6">
        <x:v>10</x:v>
      </x:c>
      <x:c r="C188" s="6">
        <x:v>2</x:v>
      </x:c>
      <x:c r="D188" s="6">
        <x:v>4</x:v>
      </x:c>
      <x:c r="E188" s="6">
        <x:v>10</x:v>
      </x:c>
      <x:c r="F188" s="6" t="n">
        <x:v>1</x:v>
      </x:c>
      <x:c r="G188" s="6" t="n">
        <x:v>7</x:v>
      </x:c>
      <x:c r="H188" s="10" t="n">
        <x:f>IF(OR(COUNT(G188)=0,COUNT(E188)=0,COUNT(F188)=0),"",G188*F188*1000/E188)</x:f>
        <x:v>700</x:v>
      </x:c>
      <x:c r="I188" s="10" t="n">
        <x:f>IF(OR(COUNT(E188)=0,COUNT(F188)=0),"",1000*F188/E188)</x:f>
        <x:v>100</x:v>
      </x:c>
      <x:c r="J188" s="13" t="str">
        <x:f t="shared" si="4">IF(OR(COUNT(H188)=0,COUNT(I188)=0),"",IF(H188&lt;=I188,"YES","no"))</x:f>
        <x:v>no</x:v>
      </x:c>
      <x:c r="K188" s="10" t="n">
        <x:f t="shared" si="5">IF(OR(COUNT(H188)=0,COUNT(I188)=0),"",LOG10(MAX(H188,I188)))</x:f>
        <x:v>2.84509804001426</x:v>
      </x:c>
    </x:row>
    <x:row r="189">
      <x:c r="A189" s="6" t="s">
        <x:v>95</x:v>
      </x:c>
      <x:c r="B189" s="6">
        <x:v>10</x:v>
      </x:c>
      <x:c r="C189" s="6">
        <x:v>2</x:v>
      </x:c>
      <x:c r="D189" s="6">
        <x:v>6</x:v>
      </x:c>
      <x:c r="E189" s="6">
        <x:v>100</x:v>
      </x:c>
      <x:c r="F189" s="6" t="n">
        <x:v>1</x:v>
      </x:c>
      <x:c r="G189" s="6" t="n">
        <x:v>43</x:v>
      </x:c>
      <x:c r="H189" s="10" t="n">
        <x:f>IF(OR(COUNT(G189)=0,COUNT(E189)=0,COUNT(F189)=0),"",G189*F189*1000/E189)</x:f>
        <x:v>430</x:v>
      </x:c>
      <x:c r="I189" s="10" t="n">
        <x:f>IF(OR(COUNT(E189)=0,COUNT(F189)=0),"",1000*F189/E189)</x:f>
        <x:v>10</x:v>
      </x:c>
      <x:c r="J189" s="13" t="str">
        <x:f t="shared" si="4">IF(OR(COUNT(H189)=0,COUNT(I189)=0),"",IF(H189&lt;=I189,"YES","no"))</x:f>
        <x:v>no</x:v>
      </x:c>
      <x:c r="K189" s="10" t="n">
        <x:f t="shared" si="5">IF(OR(COUNT(H189)=0,COUNT(I189)=0),"",LOG10(MAX(H189,I189)))</x:f>
        <x:v>2.63346845557959</x:v>
      </x:c>
    </x:row>
    <x:row r="190">
      <x:c r="A190" s="6" t="s">
        <x:v>95</x:v>
      </x:c>
      <x:c r="B190" s="6">
        <x:v>10</x:v>
      </x:c>
      <x:c r="C190" s="6">
        <x:v>2</x:v>
      </x:c>
      <x:c r="D190" s="6">
        <x:v>6</x:v>
      </x:c>
      <x:c r="E190" s="6">
        <x:v>100</x:v>
      </x:c>
      <x:c r="F190" s="6" t="n">
        <x:v>1</x:v>
      </x:c>
      <x:c r="G190" s="6" t="n">
        <x:v>34</x:v>
      </x:c>
      <x:c r="H190" s="10" t="n">
        <x:f>IF(OR(COUNT(G190)=0,COUNT(E190)=0,COUNT(F190)=0),"",G190*F190*1000/E190)</x:f>
        <x:v>340</x:v>
      </x:c>
      <x:c r="I190" s="10" t="n">
        <x:f>IF(OR(COUNT(E190)=0,COUNT(F190)=0),"",1000*F190/E190)</x:f>
        <x:v>10</x:v>
      </x:c>
      <x:c r="J190" s="13" t="str">
        <x:f t="shared" si="4">IF(OR(COUNT(H190)=0,COUNT(I190)=0),"",IF(H190&lt;=I190,"YES","no"))</x:f>
        <x:v>no</x:v>
      </x:c>
      <x:c r="K190" s="10" t="n">
        <x:f t="shared" si="5">IF(OR(COUNT(H190)=0,COUNT(I190)=0),"",LOG10(MAX(H190,I190)))</x:f>
        <x:v>2.53147891704225</x:v>
      </x:c>
    </x:row>
    <x:row r="191">
      <x:c r="A191" s="6" t="s">
        <x:v>95</x:v>
      </x:c>
      <x:c r="B191" s="6">
        <x:v>10</x:v>
      </x:c>
      <x:c r="C191" s="6">
        <x:v>2</x:v>
      </x:c>
      <x:c r="D191" s="6">
        <x:v>6</x:v>
      </x:c>
      <x:c r="E191" s="6">
        <x:v>10</x:v>
      </x:c>
      <x:c r="F191" s="6" t="n">
        <x:v>1</x:v>
      </x:c>
      <x:c r="G191" s="6" t="n">
        <x:v>0</x:v>
      </x:c>
      <x:c r="H191" s="10" t="n">
        <x:f>IF(OR(COUNT(G191)=0,COUNT(E191)=0,COUNT(F191)=0),"",G191*F191*1000/E191)</x:f>
        <x:v>0</x:v>
      </x:c>
      <x:c r="I191" s="10" t="n">
        <x:f>IF(OR(COUNT(E191)=0,COUNT(F191)=0),"",1000*F191/E191)</x:f>
        <x:v>100</x:v>
      </x:c>
      <x:c r="J191" s="13" t="str">
        <x:f t="shared" si="4">IF(OR(COUNT(H191)=0,COUNT(I191)=0),"",IF(H191&lt;=I191,"YES","no"))</x:f>
        <x:v>YES</x:v>
      </x:c>
      <x:c r="K191" s="10" t="n">
        <x:f t="shared" si="5">IF(OR(COUNT(H191)=0,COUNT(I191)=0),"",LOG10(MAX(H191,I191)))</x:f>
        <x:v>2</x:v>
      </x:c>
    </x:row>
    <x:row r="192">
      <x:c r="A192" s="6" t="s">
        <x:v>95</x:v>
      </x:c>
      <x:c r="B192" s="6">
        <x:v>10</x:v>
      </x:c>
      <x:c r="C192" s="6">
        <x:v>2</x:v>
      </x:c>
      <x:c r="D192" s="6">
        <x:v>6</x:v>
      </x:c>
      <x:c r="E192" s="6">
        <x:v>10</x:v>
      </x:c>
      <x:c r="F192" s="6" t="n">
        <x:v>1</x:v>
      </x:c>
      <x:c r="G192" s="6" t="n">
        <x:v>6</x:v>
      </x:c>
      <x:c r="H192" s="10" t="n">
        <x:f>IF(OR(COUNT(G192)=0,COUNT(E192)=0,COUNT(F192)=0),"",G192*F192*1000/E192)</x:f>
        <x:v>600</x:v>
      </x:c>
      <x:c r="I192" s="10" t="n">
        <x:f>IF(OR(COUNT(E192)=0,COUNT(F192)=0),"",1000*F192/E192)</x:f>
        <x:v>100</x:v>
      </x:c>
      <x:c r="J192" s="13" t="str">
        <x:f t="shared" si="4">IF(OR(COUNT(H192)=0,COUNT(I192)=0),"",IF(H192&lt;=I192,"YES","no"))</x:f>
        <x:v>no</x:v>
      </x:c>
      <x:c r="K192" s="10" t="n">
        <x:f t="shared" si="5">IF(OR(COUNT(H192)=0,COUNT(I192)=0),"",LOG10(MAX(H192,I192)))</x:f>
        <x:v>2.77815125038364</x:v>
      </x:c>
    </x:row>
    <x:row r="193">
      <x:c r="A193" s="6" t="s">
        <x:v>95</x:v>
      </x:c>
      <x:c r="B193" s="6">
        <x:v>10</x:v>
      </x:c>
      <x:c r="C193" s="6">
        <x:v>2</x:v>
      </x:c>
      <x:c r="D193" s="6">
        <x:v>24</x:v>
      </x:c>
      <x:c r="E193" s="6">
        <x:v>100</x:v>
      </x:c>
      <x:c r="F193" s="6" t="n">
        <x:v>1</x:v>
      </x:c>
      <x:c r="G193" s="6" t="n">
        <x:v>2</x:v>
      </x:c>
      <x:c r="H193" s="10" t="n">
        <x:f>IF(OR(COUNT(G193)=0,COUNT(E193)=0,COUNT(F193)=0),"",G193*F193*1000/E193)</x:f>
        <x:v>20</x:v>
      </x:c>
      <x:c r="I193" s="10" t="n">
        <x:f>IF(OR(COUNT(E193)=0,COUNT(F193)=0),"",1000*F193/E193)</x:f>
        <x:v>10</x:v>
      </x:c>
      <x:c r="J193" s="13" t="str">
        <x:f t="shared" si="4">IF(OR(COUNT(H193)=0,COUNT(I193)=0),"",IF(H193&lt;=I193,"YES","no"))</x:f>
        <x:v>no</x:v>
      </x:c>
      <x:c r="K193" s="10" t="n">
        <x:f t="shared" si="5">IF(OR(COUNT(H193)=0,COUNT(I193)=0),"",LOG10(MAX(H193,I193)))</x:f>
        <x:v>1.30102999566398</x:v>
      </x:c>
    </x:row>
    <x:row r="194">
      <x:c r="A194" s="6" t="s">
        <x:v>95</x:v>
      </x:c>
      <x:c r="B194" s="6">
        <x:v>10</x:v>
      </x:c>
      <x:c r="C194" s="6">
        <x:v>2</x:v>
      </x:c>
      <x:c r="D194" s="6">
        <x:v>24</x:v>
      </x:c>
      <x:c r="E194" s="6">
        <x:v>100</x:v>
      </x:c>
      <x:c r="F194" s="6" t="n">
        <x:v>1</x:v>
      </x:c>
      <x:c r="G194" s="6" t="n">
        <x:v>4</x:v>
      </x:c>
      <x:c r="H194" s="10" t="n">
        <x:f>IF(OR(COUNT(G194)=0,COUNT(E194)=0,COUNT(F194)=0),"",G194*F194*1000/E194)</x:f>
        <x:v>40</x:v>
      </x:c>
      <x:c r="I194" s="10" t="n">
        <x:f>IF(OR(COUNT(E194)=0,COUNT(F194)=0),"",1000*F194/E194)</x:f>
        <x:v>10</x:v>
      </x:c>
      <x:c r="J194" s="13" t="str">
        <x:f t="shared" si="4">IF(OR(COUNT(H194)=0,COUNT(I194)=0),"",IF(H194&lt;=I194,"YES","no"))</x:f>
        <x:v>no</x:v>
      </x:c>
      <x:c r="K194" s="10" t="n">
        <x:f t="shared" si="5">IF(OR(COUNT(H194)=0,COUNT(I194)=0),"",LOG10(MAX(H194,I194)))</x:f>
        <x:v>1.60205999132796</x:v>
      </x:c>
    </x:row>
    <x:row r="195">
      <x:c r="A195" s="6" t="s">
        <x:v>95</x:v>
      </x:c>
      <x:c r="B195" s="6">
        <x:v>10</x:v>
      </x:c>
      <x:c r="C195" s="6">
        <x:v>2</x:v>
      </x:c>
      <x:c r="D195" s="6">
        <x:v>24</x:v>
      </x:c>
      <x:c r="E195" s="6">
        <x:v>10</x:v>
      </x:c>
      <x:c r="F195" s="6" t="n">
        <x:v>1</x:v>
      </x:c>
      <x:c r="G195" s="6" t="n">
        <x:v>1</x:v>
      </x:c>
      <x:c r="H195" s="10" t="n">
        <x:f>IF(OR(COUNT(G195)=0,COUNT(E195)=0,COUNT(F195)=0),"",G195*F195*1000/E195)</x:f>
        <x:v>100</x:v>
      </x:c>
      <x:c r="I195" s="10" t="n">
        <x:f>IF(OR(COUNT(E195)=0,COUNT(F195)=0),"",1000*F195/E195)</x:f>
        <x:v>100</x:v>
      </x:c>
      <x:c r="J195" s="13" t="str">
        <x:f t="shared" si="4">IF(OR(COUNT(H195)=0,COUNT(I195)=0),"",IF(H195&lt;=I195,"YES","no"))</x:f>
        <x:v>YES</x:v>
      </x:c>
      <x:c r="K195" s="10" t="n">
        <x:f t="shared" si="5">IF(OR(COUNT(H195)=0,COUNT(I195)=0),"",LOG10(MAX(H195,I195)))</x:f>
        <x:v>2</x:v>
      </x:c>
    </x:row>
    <x:row r="196">
      <x:c r="A196" s="6" t="s">
        <x:v>95</x:v>
      </x:c>
      <x:c r="B196" s="6">
        <x:v>10</x:v>
      </x:c>
      <x:c r="C196" s="6">
        <x:v>2</x:v>
      </x:c>
      <x:c r="D196" s="6">
        <x:v>24</x:v>
      </x:c>
      <x:c r="E196" s="6">
        <x:v>10</x:v>
      </x:c>
      <x:c r="F196" s="6" t="n">
        <x:v>1</x:v>
      </x:c>
      <x:c r="G196" s="6" t="n">
        <x:v>0</x:v>
      </x:c>
      <x:c r="H196" s="10" t="n">
        <x:f>IF(OR(COUNT(G196)=0,COUNT(E196)=0,COUNT(F196)=0),"",G196*F196*1000/E196)</x:f>
        <x:v>0</x:v>
      </x:c>
      <x:c r="I196" s="10" t="n">
        <x:f>IF(OR(COUNT(E196)=0,COUNT(F196)=0),"",1000*F196/E196)</x:f>
        <x:v>100</x:v>
      </x:c>
      <x:c r="J196" s="13" t="str">
        <x:f t="shared" si="4">IF(OR(COUNT(H196)=0,COUNT(I196)=0),"",IF(H196&lt;=I196,"YES","no"))</x:f>
        <x:v>YES</x:v>
      </x:c>
      <x:c r="K196" s="10" t="n">
        <x:f t="shared" si="5">IF(OR(COUNT(H196)=0,COUNT(I196)=0),"",LOG10(MAX(H196,I196)))</x:f>
        <x:v>2</x:v>
      </x:c>
    </x:row>
    <x:row r="197">
      <x:c r="A197" s="6" t="s">
        <x:v>95</x:v>
      </x:c>
      <x:c r="B197" s="6">
        <x:v>10</x:v>
      </x:c>
      <x:c r="C197" s="6">
        <x:v>3</x:v>
      </x:c>
      <x:c r="D197" s="6">
        <x:v>0</x:v>
      </x:c>
      <x:c r="E197" s="6">
        <x:v>100</x:v>
      </x:c>
      <x:c r="F197" s="6" t="n">
        <x:v>10000</x:v>
      </x:c>
      <x:c r="G197" s="6" t="n">
        <x:v>40</x:v>
      </x:c>
      <x:c r="H197" s="10" t="n">
        <x:f>IF(OR(COUNT(G197)=0,COUNT(E197)=0,COUNT(F197)=0),"",G197*F197*1000/E197)</x:f>
        <x:v>4000000</x:v>
      </x:c>
      <x:c r="I197" s="10" t="n">
        <x:f>IF(OR(COUNT(E197)=0,COUNT(F197)=0),"",1000*F197/E197)</x:f>
        <x:v>100000</x:v>
      </x:c>
      <x:c r="J197" s="13" t="str">
        <x:f t="shared" ref="J197:J220" si="6">IF(OR(COUNT(H197)=0,COUNT(I197)=0),"",IF(H197&lt;=I197,"YES","no"))</x:f>
        <x:v>no</x:v>
      </x:c>
      <x:c r="K197" s="10" t="n">
        <x:f t="shared" ref="K197:K220" si="7">IF(OR(COUNT(H197)=0,COUNT(I197)=0),"",LOG10(MAX(H197,I197)))</x:f>
        <x:v>6.60205999132796</x:v>
      </x:c>
    </x:row>
    <x:row r="198">
      <x:c r="A198" s="6" t="s">
        <x:v>95</x:v>
      </x:c>
      <x:c r="B198" s="6">
        <x:v>10</x:v>
      </x:c>
      <x:c r="C198" s="6">
        <x:v>3</x:v>
      </x:c>
      <x:c r="D198" s="6">
        <x:v>0</x:v>
      </x:c>
      <x:c r="E198" s="6">
        <x:v>100</x:v>
      </x:c>
      <x:c r="F198" s="6" t="n">
        <x:v>10000</x:v>
      </x:c>
      <x:c r="G198" s="6" t="n">
        <x:v>39</x:v>
      </x:c>
      <x:c r="H198" s="10" t="n">
        <x:f>IF(OR(COUNT(G198)=0,COUNT(E198)=0,COUNT(F198)=0),"",G198*F198*1000/E198)</x:f>
        <x:v>3900000</x:v>
      </x:c>
      <x:c r="I198" s="10" t="n">
        <x:f>IF(OR(COUNT(E198)=0,COUNT(F198)=0),"",1000*F198/E198)</x:f>
        <x:v>100000</x:v>
      </x:c>
      <x:c r="J198" s="13" t="str">
        <x:f t="shared" si="6">IF(OR(COUNT(H198)=0,COUNT(I198)=0),"",IF(H198&lt;=I198,"YES","no"))</x:f>
        <x:v>no</x:v>
      </x:c>
      <x:c r="K198" s="10" t="n">
        <x:f t="shared" si="7">IF(OR(COUNT(H198)=0,COUNT(I198)=0),"",LOG10(MAX(H198,I198)))</x:f>
        <x:v>6.5910646070265</x:v>
      </x:c>
    </x:row>
    <x:row r="199">
      <x:c r="A199" s="6" t="s">
        <x:v>95</x:v>
      </x:c>
      <x:c r="B199" s="6">
        <x:v>10</x:v>
      </x:c>
      <x:c r="C199" s="6">
        <x:v>3</x:v>
      </x:c>
      <x:c r="D199" s="6">
        <x:v>0</x:v>
      </x:c>
      <x:c r="E199" s="6">
        <x:v>10</x:v>
      </x:c>
      <x:c r="F199" s="6" t="n">
        <x:v>1000</x:v>
      </x:c>
      <x:c r="G199" s="6" t="n">
        <x:v>32</x:v>
      </x:c>
      <x:c r="H199" s="10" t="n">
        <x:f>IF(OR(COUNT(G199)=0,COUNT(E199)=0,COUNT(F199)=0),"",G199*F199*1000/E199)</x:f>
        <x:v>3200000</x:v>
      </x:c>
      <x:c r="I199" s="10" t="n">
        <x:f>IF(OR(COUNT(E199)=0,COUNT(F199)=0),"",1000*F199/E199)</x:f>
        <x:v>100000</x:v>
      </x:c>
      <x:c r="J199" s="13" t="str">
        <x:f t="shared" si="6">IF(OR(COUNT(H199)=0,COUNT(I199)=0),"",IF(H199&lt;=I199,"YES","no"))</x:f>
        <x:v>no</x:v>
      </x:c>
      <x:c r="K199" s="10" t="n">
        <x:f t="shared" si="7">IF(OR(COUNT(H199)=0,COUNT(I199)=0),"",LOG10(MAX(H199,I199)))</x:f>
        <x:v>6.50514997831991</x:v>
      </x:c>
    </x:row>
    <x:row r="200">
      <x:c r="A200" s="6" t="s">
        <x:v>95</x:v>
      </x:c>
      <x:c r="B200" s="6">
        <x:v>10</x:v>
      </x:c>
      <x:c r="C200" s="6">
        <x:v>3</x:v>
      </x:c>
      <x:c r="D200" s="6">
        <x:v>0</x:v>
      </x:c>
      <x:c r="E200" s="6">
        <x:v>10</x:v>
      </x:c>
      <x:c r="F200" s="6" t="n">
        <x:v>1000</x:v>
      </x:c>
      <x:c r="G200" s="6" t="n">
        <x:v>57</x:v>
      </x:c>
      <x:c r="H200" s="10" t="n">
        <x:f>IF(OR(COUNT(G200)=0,COUNT(E200)=0,COUNT(F200)=0),"",G200*F200*1000/E200)</x:f>
        <x:v>5700000</x:v>
      </x:c>
      <x:c r="I200" s="10" t="n">
        <x:f>IF(OR(COUNT(E200)=0,COUNT(F200)=0),"",1000*F200/E200)</x:f>
        <x:v>100000</x:v>
      </x:c>
      <x:c r="J200" s="13" t="str">
        <x:f t="shared" si="6">IF(OR(COUNT(H200)=0,COUNT(I200)=0),"",IF(H200&lt;=I200,"YES","no"))</x:f>
        <x:v>no</x:v>
      </x:c>
      <x:c r="K200" s="10" t="n">
        <x:f t="shared" si="7">IF(OR(COUNT(H200)=0,COUNT(I200)=0),"",LOG10(MAX(H200,I200)))</x:f>
        <x:v>6.75587485567249</x:v>
      </x:c>
    </x:row>
    <x:row r="201">
      <x:c r="A201" s="6" t="s">
        <x:v>95</x:v>
      </x:c>
      <x:c r="B201" s="6">
        <x:v>10</x:v>
      </x:c>
      <x:c r="C201" s="6">
        <x:v>3</x:v>
      </x:c>
      <x:c r="D201" s="6">
        <x:v>1</x:v>
      </x:c>
      <x:c r="E201" s="6">
        <x:v>100</x:v>
      </x:c>
      <x:c r="F201" s="6" t="n">
        <x:v>100</x:v>
      </x:c>
      <x:c r="G201" s="6" t="n">
        <x:v>45</x:v>
      </x:c>
      <x:c r="H201" s="10" t="n">
        <x:f>IF(OR(COUNT(G201)=0,COUNT(E201)=0,COUNT(F201)=0),"",G201*F201*1000/E201)</x:f>
        <x:v>45000</x:v>
      </x:c>
      <x:c r="I201" s="10" t="n">
        <x:f>IF(OR(COUNT(E201)=0,COUNT(F201)=0),"",1000*F201/E201)</x:f>
        <x:v>1000</x:v>
      </x:c>
      <x:c r="J201" s="13" t="str">
        <x:f t="shared" si="6">IF(OR(COUNT(H201)=0,COUNT(I201)=0),"",IF(H201&lt;=I201,"YES","no"))</x:f>
        <x:v>no</x:v>
      </x:c>
      <x:c r="K201" s="10" t="n">
        <x:f t="shared" si="7">IF(OR(COUNT(H201)=0,COUNT(I201)=0),"",LOG10(MAX(H201,I201)))</x:f>
        <x:v>4.65321251377534</x:v>
      </x:c>
    </x:row>
    <x:row r="202">
      <x:c r="A202" s="6" t="s">
        <x:v>95</x:v>
      </x:c>
      <x:c r="B202" s="6">
        <x:v>10</x:v>
      </x:c>
      <x:c r="C202" s="6">
        <x:v>3</x:v>
      </x:c>
      <x:c r="D202" s="6">
        <x:v>1</x:v>
      </x:c>
      <x:c r="E202" s="6">
        <x:v>100</x:v>
      </x:c>
      <x:c r="F202" s="6" t="n">
        <x:v>100</x:v>
      </x:c>
      <x:c r="G202" s="6" t="n">
        <x:v>51</x:v>
      </x:c>
      <x:c r="H202" s="10" t="n">
        <x:f>IF(OR(COUNT(G202)=0,COUNT(E202)=0,COUNT(F202)=0),"",G202*F202*1000/E202)</x:f>
        <x:v>51000</x:v>
      </x:c>
      <x:c r="I202" s="10" t="n">
        <x:f>IF(OR(COUNT(E202)=0,COUNT(F202)=0),"",1000*F202/E202)</x:f>
        <x:v>1000</x:v>
      </x:c>
      <x:c r="J202" s="13" t="str">
        <x:f t="shared" si="6">IF(OR(COUNT(H202)=0,COUNT(I202)=0),"",IF(H202&lt;=I202,"YES","no"))</x:f>
        <x:v>no</x:v>
      </x:c>
      <x:c r="K202" s="10" t="n">
        <x:f t="shared" si="7">IF(OR(COUNT(H202)=0,COUNT(I202)=0),"",LOG10(MAX(H202,I202)))</x:f>
        <x:v>4.70757017609794</x:v>
      </x:c>
    </x:row>
    <x:row r="203">
      <x:c r="A203" s="6" t="s">
        <x:v>95</x:v>
      </x:c>
      <x:c r="B203" s="6">
        <x:v>10</x:v>
      </x:c>
      <x:c r="C203" s="6">
        <x:v>3</x:v>
      </x:c>
      <x:c r="D203" s="6">
        <x:v>1</x:v>
      </x:c>
      <x:c r="E203" s="6">
        <x:v>10</x:v>
      </x:c>
      <x:c r="F203" s="6" t="n">
        <x:v>10</x:v>
      </x:c>
      <x:c r="G203" s="6" t="n">
        <x:v>52</x:v>
      </x:c>
      <x:c r="H203" s="10" t="n">
        <x:f>IF(OR(COUNT(G203)=0,COUNT(E203)=0,COUNT(F203)=0),"",G203*F203*1000/E203)</x:f>
        <x:v>52000</x:v>
      </x:c>
      <x:c r="I203" s="10" t="n">
        <x:f>IF(OR(COUNT(E203)=0,COUNT(F203)=0),"",1000*F203/E203)</x:f>
        <x:v>1000</x:v>
      </x:c>
      <x:c r="J203" s="13" t="str">
        <x:f t="shared" si="6">IF(OR(COUNT(H203)=0,COUNT(I203)=0),"",IF(H203&lt;=I203,"YES","no"))</x:f>
        <x:v>no</x:v>
      </x:c>
      <x:c r="K203" s="10" t="n">
        <x:f t="shared" si="7">IF(OR(COUNT(H203)=0,COUNT(I203)=0),"",LOG10(MAX(H203,I203)))</x:f>
        <x:v>4.7160033436348</x:v>
      </x:c>
    </x:row>
    <x:row r="204">
      <x:c r="A204" s="6" t="s">
        <x:v>95</x:v>
      </x:c>
      <x:c r="B204" s="6">
        <x:v>10</x:v>
      </x:c>
      <x:c r="C204" s="6">
        <x:v>3</x:v>
      </x:c>
      <x:c r="D204" s="6">
        <x:v>1</x:v>
      </x:c>
      <x:c r="E204" s="6">
        <x:v>10</x:v>
      </x:c>
      <x:c r="F204" s="6" t="n">
        <x:v>10</x:v>
      </x:c>
      <x:c r="G204" s="6" t="n">
        <x:v>59</x:v>
      </x:c>
      <x:c r="H204" s="10" t="n">
        <x:f>IF(OR(COUNT(G204)=0,COUNT(E204)=0,COUNT(F204)=0),"",G204*F204*1000/E204)</x:f>
        <x:v>59000</x:v>
      </x:c>
      <x:c r="I204" s="10" t="n">
        <x:f>IF(OR(COUNT(E204)=0,COUNT(F204)=0),"",1000*F204/E204)</x:f>
        <x:v>1000</x:v>
      </x:c>
      <x:c r="J204" s="13" t="str">
        <x:f t="shared" si="6">IF(OR(COUNT(H204)=0,COUNT(I204)=0),"",IF(H204&lt;=I204,"YES","no"))</x:f>
        <x:v>no</x:v>
      </x:c>
      <x:c r="K204" s="10" t="n">
        <x:f t="shared" si="7">IF(OR(COUNT(H204)=0,COUNT(I204)=0),"",LOG10(MAX(H204,I204)))</x:f>
        <x:v>4.77085201164214</x:v>
      </x:c>
    </x:row>
    <x:row r="205">
      <x:c r="A205" s="6" t="s">
        <x:v>95</x:v>
      </x:c>
      <x:c r="B205" s="6">
        <x:v>10</x:v>
      </x:c>
      <x:c r="C205" s="6">
        <x:v>3</x:v>
      </x:c>
      <x:c r="D205" s="6">
        <x:v>2</x:v>
      </x:c>
      <x:c r="E205" s="6">
        <x:v>100</x:v>
      </x:c>
      <x:c r="F205" s="6" t="n">
        <x:v>10</x:v>
      </x:c>
      <x:c r="G205" s="6" t="n">
        <x:v>82</x:v>
      </x:c>
      <x:c r="H205" s="10" t="n">
        <x:f>IF(OR(COUNT(G205)=0,COUNT(E205)=0,COUNT(F205)=0),"",G205*F205*1000/E205)</x:f>
        <x:v>8200</x:v>
      </x:c>
      <x:c r="I205" s="10" t="n">
        <x:f>IF(OR(COUNT(E205)=0,COUNT(F205)=0),"",1000*F205/E205)</x:f>
        <x:v>100</x:v>
      </x:c>
      <x:c r="J205" s="13" t="str">
        <x:f t="shared" si="6">IF(OR(COUNT(H205)=0,COUNT(I205)=0),"",IF(H205&lt;=I205,"YES","no"))</x:f>
        <x:v>no</x:v>
      </x:c>
      <x:c r="K205" s="10" t="n">
        <x:f t="shared" si="7">IF(OR(COUNT(H205)=0,COUNT(I205)=0),"",LOG10(MAX(H205,I205)))</x:f>
        <x:v>3.91381385238372</x:v>
      </x:c>
    </x:row>
    <x:row r="206">
      <x:c r="A206" s="6" t="s">
        <x:v>95</x:v>
      </x:c>
      <x:c r="B206" s="6">
        <x:v>10</x:v>
      </x:c>
      <x:c r="C206" s="6">
        <x:v>3</x:v>
      </x:c>
      <x:c r="D206" s="6">
        <x:v>2</x:v>
      </x:c>
      <x:c r="E206" s="6">
        <x:v>100</x:v>
      </x:c>
      <x:c r="F206" s="6" t="n">
        <x:v>10</x:v>
      </x:c>
      <x:c r="G206" s="6" t="n">
        <x:v>78</x:v>
      </x:c>
      <x:c r="H206" s="10" t="n">
        <x:f>IF(OR(COUNT(G206)=0,COUNT(E206)=0,COUNT(F206)=0),"",G206*F206*1000/E206)</x:f>
        <x:v>7800</x:v>
      </x:c>
      <x:c r="I206" s="10" t="n">
        <x:f>IF(OR(COUNT(E206)=0,COUNT(F206)=0),"",1000*F206/E206)</x:f>
        <x:v>100</x:v>
      </x:c>
      <x:c r="J206" s="13" t="str">
        <x:f t="shared" si="6">IF(OR(COUNT(H206)=0,COUNT(I206)=0),"",IF(H206&lt;=I206,"YES","no"))</x:f>
        <x:v>no</x:v>
      </x:c>
      <x:c r="K206" s="10" t="n">
        <x:f t="shared" si="7">IF(OR(COUNT(H206)=0,COUNT(I206)=0),"",LOG10(MAX(H206,I206)))</x:f>
        <x:v>3.89209460269048</x:v>
      </x:c>
    </x:row>
    <x:row r="207">
      <x:c r="A207" s="6" t="s">
        <x:v>95</x:v>
      </x:c>
      <x:c r="B207" s="6">
        <x:v>10</x:v>
      </x:c>
      <x:c r="C207" s="6">
        <x:v>3</x:v>
      </x:c>
      <x:c r="D207" s="6">
        <x:v>2</x:v>
      </x:c>
      <x:c r="E207" s="6">
        <x:v>10</x:v>
      </x:c>
      <x:c r="F207" s="6" t="n">
        <x:v>1</x:v>
      </x:c>
      <x:c r="G207" s="6" t="n">
        <x:v>83</x:v>
      </x:c>
      <x:c r="H207" s="10" t="n">
        <x:f>IF(OR(COUNT(G207)=0,COUNT(E207)=0,COUNT(F207)=0),"",G207*F207*1000/E207)</x:f>
        <x:v>8300</x:v>
      </x:c>
      <x:c r="I207" s="10" t="n">
        <x:f>IF(OR(COUNT(E207)=0,COUNT(F207)=0),"",1000*F207/E207)</x:f>
        <x:v>100</x:v>
      </x:c>
      <x:c r="J207" s="13" t="str">
        <x:f t="shared" si="6">IF(OR(COUNT(H207)=0,COUNT(I207)=0),"",IF(H207&lt;=I207,"YES","no"))</x:f>
        <x:v>no</x:v>
      </x:c>
      <x:c r="K207" s="10" t="n">
        <x:f t="shared" si="7">IF(OR(COUNT(H207)=0,COUNT(I207)=0),"",LOG10(MAX(H207,I207)))</x:f>
        <x:v>3.91907809237607</x:v>
      </x:c>
    </x:row>
    <x:row r="208">
      <x:c r="A208" s="6" t="s">
        <x:v>95</x:v>
      </x:c>
      <x:c r="B208" s="6">
        <x:v>10</x:v>
      </x:c>
      <x:c r="C208" s="6">
        <x:v>3</x:v>
      </x:c>
      <x:c r="D208" s="6">
        <x:v>2</x:v>
      </x:c>
      <x:c r="E208" s="6">
        <x:v>10</x:v>
      </x:c>
      <x:c r="F208" s="6" t="n">
        <x:v>1</x:v>
      </x:c>
      <x:c r="G208" s="6" t="n">
        <x:v>102</x:v>
      </x:c>
      <x:c r="H208" s="10" t="n">
        <x:f>IF(OR(COUNT(G208)=0,COUNT(E208)=0,COUNT(F208)=0),"",G208*F208*1000/E208)</x:f>
        <x:v>10200</x:v>
      </x:c>
      <x:c r="I208" s="10" t="n">
        <x:f>IF(OR(COUNT(E208)=0,COUNT(F208)=0),"",1000*F208/E208)</x:f>
        <x:v>100</x:v>
      </x:c>
      <x:c r="J208" s="13" t="str">
        <x:f t="shared" si="6">IF(OR(COUNT(H208)=0,COUNT(I208)=0),"",IF(H208&lt;=I208,"YES","no"))</x:f>
        <x:v>no</x:v>
      </x:c>
      <x:c r="K208" s="10" t="n">
        <x:f t="shared" si="7">IF(OR(COUNT(H208)=0,COUNT(I208)=0),"",LOG10(MAX(H208,I208)))</x:f>
        <x:v>4.00860017176192</x:v>
      </x:c>
    </x:row>
    <x:row r="209">
      <x:c r="A209" s="6" t="s">
        <x:v>95</x:v>
      </x:c>
      <x:c r="B209" s="6">
        <x:v>10</x:v>
      </x:c>
      <x:c r="C209" s="6">
        <x:v>3</x:v>
      </x:c>
      <x:c r="D209" s="6">
        <x:v>4</x:v>
      </x:c>
      <x:c r="E209" s="6">
        <x:v>100</x:v>
      </x:c>
      <x:c r="F209" s="6" t="n">
        <x:v>1</x:v>
      </x:c>
      <x:c r="G209" s="6" t="n">
        <x:v>117</x:v>
      </x:c>
      <x:c r="H209" s="10" t="n">
        <x:f>IF(OR(COUNT(G209)=0,COUNT(E209)=0,COUNT(F209)=0),"",G209*F209*1000/E209)</x:f>
        <x:v>1170</x:v>
      </x:c>
      <x:c r="I209" s="10" t="n">
        <x:f>IF(OR(COUNT(E209)=0,COUNT(F209)=0),"",1000*F209/E209)</x:f>
        <x:v>10</x:v>
      </x:c>
      <x:c r="J209" s="13" t="str">
        <x:f t="shared" si="6">IF(OR(COUNT(H209)=0,COUNT(I209)=0),"",IF(H209&lt;=I209,"YES","no"))</x:f>
        <x:v>no</x:v>
      </x:c>
      <x:c r="K209" s="10" t="n">
        <x:f t="shared" si="7">IF(OR(COUNT(H209)=0,COUNT(I209)=0),"",LOG10(MAX(H209,I209)))</x:f>
        <x:v>3.06818586174616</x:v>
      </x:c>
    </x:row>
    <x:row r="210">
      <x:c r="A210" s="6" t="s">
        <x:v>95</x:v>
      </x:c>
      <x:c r="B210" s="6">
        <x:v>10</x:v>
      </x:c>
      <x:c r="C210" s="6">
        <x:v>3</x:v>
      </x:c>
      <x:c r="D210" s="6">
        <x:v>4</x:v>
      </x:c>
      <x:c r="E210" s="6">
        <x:v>100</x:v>
      </x:c>
      <x:c r="F210" s="6" t="n">
        <x:v>1</x:v>
      </x:c>
      <x:c r="G210" s="6" t="n">
        <x:v>97</x:v>
      </x:c>
      <x:c r="H210" s="10" t="n">
        <x:f>IF(OR(COUNT(G210)=0,COUNT(E210)=0,COUNT(F210)=0),"",G210*F210*1000/E210)</x:f>
        <x:v>970</x:v>
      </x:c>
      <x:c r="I210" s="10" t="n">
        <x:f>IF(OR(COUNT(E210)=0,COUNT(F210)=0),"",1000*F210/E210)</x:f>
        <x:v>10</x:v>
      </x:c>
      <x:c r="J210" s="13" t="str">
        <x:f t="shared" si="6">IF(OR(COUNT(H210)=0,COUNT(I210)=0),"",IF(H210&lt;=I210,"YES","no"))</x:f>
        <x:v>no</x:v>
      </x:c>
      <x:c r="K210" s="10" t="n">
        <x:f t="shared" si="7">IF(OR(COUNT(H210)=0,COUNT(I210)=0),"",LOG10(MAX(H210,I210)))</x:f>
        <x:v>2.98677173426624</x:v>
      </x:c>
    </x:row>
    <x:row r="211">
      <x:c r="A211" s="6" t="s">
        <x:v>95</x:v>
      </x:c>
      <x:c r="B211" s="6">
        <x:v>10</x:v>
      </x:c>
      <x:c r="C211" s="6">
        <x:v>3</x:v>
      </x:c>
      <x:c r="D211" s="6">
        <x:v>4</x:v>
      </x:c>
      <x:c r="E211" s="6">
        <x:v>10</x:v>
      </x:c>
      <x:c r="F211" s="6" t="n">
        <x:v>1</x:v>
      </x:c>
      <x:c r="G211" s="6" t="n">
        <x:v>14</x:v>
      </x:c>
      <x:c r="H211" s="10" t="n">
        <x:f>IF(OR(COUNT(G211)=0,COUNT(E211)=0,COUNT(F211)=0),"",G211*F211*1000/E211)</x:f>
        <x:v>1400</x:v>
      </x:c>
      <x:c r="I211" s="10" t="n">
        <x:f>IF(OR(COUNT(E211)=0,COUNT(F211)=0),"",1000*F211/E211)</x:f>
        <x:v>100</x:v>
      </x:c>
      <x:c r="J211" s="13" t="str">
        <x:f t="shared" si="6">IF(OR(COUNT(H211)=0,COUNT(I211)=0),"",IF(H211&lt;=I211,"YES","no"))</x:f>
        <x:v>no</x:v>
      </x:c>
      <x:c r="K211" s="10" t="n">
        <x:f t="shared" si="7">IF(OR(COUNT(H211)=0,COUNT(I211)=0),"",LOG10(MAX(H211,I211)))</x:f>
        <x:v>3.14612803567824</x:v>
      </x:c>
    </x:row>
    <x:row r="212">
      <x:c r="A212" s="6" t="s">
        <x:v>95</x:v>
      </x:c>
      <x:c r="B212" s="6">
        <x:v>10</x:v>
      </x:c>
      <x:c r="C212" s="6">
        <x:v>3</x:v>
      </x:c>
      <x:c r="D212" s="6">
        <x:v>4</x:v>
      </x:c>
      <x:c r="E212" s="6">
        <x:v>10</x:v>
      </x:c>
      <x:c r="F212" s="6" t="n">
        <x:v>1</x:v>
      </x:c>
      <x:c r="G212" s="6" t="n">
        <x:v>8</x:v>
      </x:c>
      <x:c r="H212" s="10" t="n">
        <x:f>IF(OR(COUNT(G212)=0,COUNT(E212)=0,COUNT(F212)=0),"",G212*F212*1000/E212)</x:f>
        <x:v>800</x:v>
      </x:c>
      <x:c r="I212" s="10" t="n">
        <x:f>IF(OR(COUNT(E212)=0,COUNT(F212)=0),"",1000*F212/E212)</x:f>
        <x:v>100</x:v>
      </x:c>
      <x:c r="J212" s="13" t="str">
        <x:f t="shared" si="6">IF(OR(COUNT(H212)=0,COUNT(I212)=0),"",IF(H212&lt;=I212,"YES","no"))</x:f>
        <x:v>no</x:v>
      </x:c>
      <x:c r="K212" s="10" t="n">
        <x:f t="shared" si="7">IF(OR(COUNT(H212)=0,COUNT(I212)=0),"",LOG10(MAX(H212,I212)))</x:f>
        <x:v>2.90308998699194</x:v>
      </x:c>
    </x:row>
    <x:row r="213">
      <x:c r="A213" s="6" t="s">
        <x:v>95</x:v>
      </x:c>
      <x:c r="B213" s="6">
        <x:v>10</x:v>
      </x:c>
      <x:c r="C213" s="6">
        <x:v>3</x:v>
      </x:c>
      <x:c r="D213" s="6">
        <x:v>6</x:v>
      </x:c>
      <x:c r="E213" s="6">
        <x:v>100</x:v>
      </x:c>
      <x:c r="F213" s="6" t="n">
        <x:v>1</x:v>
      </x:c>
      <x:c r="G213" s="6" t="n">
        <x:v>33</x:v>
      </x:c>
      <x:c r="H213" s="10" t="n">
        <x:f>IF(OR(COUNT(G213)=0,COUNT(E213)=0,COUNT(F213)=0),"",G213*F213*1000/E213)</x:f>
        <x:v>330</x:v>
      </x:c>
      <x:c r="I213" s="10" t="n">
        <x:f>IF(OR(COUNT(E213)=0,COUNT(F213)=0),"",1000*F213/E213)</x:f>
        <x:v>10</x:v>
      </x:c>
      <x:c r="J213" s="13" t="str">
        <x:f t="shared" si="6">IF(OR(COUNT(H213)=0,COUNT(I213)=0),"",IF(H213&lt;=I213,"YES","no"))</x:f>
        <x:v>no</x:v>
      </x:c>
      <x:c r="K213" s="10" t="n">
        <x:f t="shared" si="7">IF(OR(COUNT(H213)=0,COUNT(I213)=0),"",LOG10(MAX(H213,I213)))</x:f>
        <x:v>2.51851393987789</x:v>
      </x:c>
    </x:row>
    <x:row r="214">
      <x:c r="A214" s="6" t="s">
        <x:v>95</x:v>
      </x:c>
      <x:c r="B214" s="6">
        <x:v>10</x:v>
      </x:c>
      <x:c r="C214" s="6">
        <x:v>3</x:v>
      </x:c>
      <x:c r="D214" s="6">
        <x:v>6</x:v>
      </x:c>
      <x:c r="E214" s="6">
        <x:v>100</x:v>
      </x:c>
      <x:c r="F214" s="6" t="n">
        <x:v>1</x:v>
      </x:c>
      <x:c r="G214" s="6" t="n">
        <x:v>31</x:v>
      </x:c>
      <x:c r="H214" s="10" t="n">
        <x:f>IF(OR(COUNT(G214)=0,COUNT(E214)=0,COUNT(F214)=0),"",G214*F214*1000/E214)</x:f>
        <x:v>310</x:v>
      </x:c>
      <x:c r="I214" s="10" t="n">
        <x:f>IF(OR(COUNT(E214)=0,COUNT(F214)=0),"",1000*F214/E214)</x:f>
        <x:v>10</x:v>
      </x:c>
      <x:c r="J214" s="13" t="str">
        <x:f t="shared" si="6">IF(OR(COUNT(H214)=0,COUNT(I214)=0),"",IF(H214&lt;=I214,"YES","no"))</x:f>
        <x:v>no</x:v>
      </x:c>
      <x:c r="K214" s="10" t="n">
        <x:f t="shared" si="7">IF(OR(COUNT(H214)=0,COUNT(I214)=0),"",LOG10(MAX(H214,I214)))</x:f>
        <x:v>2.49136169383427</x:v>
      </x:c>
    </x:row>
    <x:row r="215">
      <x:c r="A215" s="6" t="s">
        <x:v>95</x:v>
      </x:c>
      <x:c r="B215" s="6">
        <x:v>10</x:v>
      </x:c>
      <x:c r="C215" s="6">
        <x:v>3</x:v>
      </x:c>
      <x:c r="D215" s="6">
        <x:v>6</x:v>
      </x:c>
      <x:c r="E215" s="6">
        <x:v>10</x:v>
      </x:c>
      <x:c r="F215" s="6" t="n">
        <x:v>1</x:v>
      </x:c>
      <x:c r="G215" s="6" t="n">
        <x:v>4</x:v>
      </x:c>
      <x:c r="H215" s="10" t="n">
        <x:f>IF(OR(COUNT(G215)=0,COUNT(E215)=0,COUNT(F215)=0),"",G215*F215*1000/E215)</x:f>
        <x:v>400</x:v>
      </x:c>
      <x:c r="I215" s="10" t="n">
        <x:f>IF(OR(COUNT(E215)=0,COUNT(F215)=0),"",1000*F215/E215)</x:f>
        <x:v>100</x:v>
      </x:c>
      <x:c r="J215" s="13" t="str">
        <x:f t="shared" si="6">IF(OR(COUNT(H215)=0,COUNT(I215)=0),"",IF(H215&lt;=I215,"YES","no"))</x:f>
        <x:v>no</x:v>
      </x:c>
      <x:c r="K215" s="10" t="n">
        <x:f t="shared" si="7">IF(OR(COUNT(H215)=0,COUNT(I215)=0),"",LOG10(MAX(H215,I215)))</x:f>
        <x:v>2.60205999132796</x:v>
      </x:c>
    </x:row>
    <x:row r="216">
      <x:c r="A216" s="6" t="s">
        <x:v>95</x:v>
      </x:c>
      <x:c r="B216" s="6">
        <x:v>10</x:v>
      </x:c>
      <x:c r="C216" s="6">
        <x:v>3</x:v>
      </x:c>
      <x:c r="D216" s="6">
        <x:v>6</x:v>
      </x:c>
      <x:c r="E216" s="6">
        <x:v>10</x:v>
      </x:c>
      <x:c r="F216" s="6" t="n">
        <x:v>1</x:v>
      </x:c>
      <x:c r="G216" s="6" t="n">
        <x:v>4</x:v>
      </x:c>
      <x:c r="H216" s="10" t="n">
        <x:f>IF(OR(COUNT(G216)=0,COUNT(E216)=0,COUNT(F216)=0),"",G216*F216*1000/E216)</x:f>
        <x:v>400</x:v>
      </x:c>
      <x:c r="I216" s="10" t="n">
        <x:f>IF(OR(COUNT(E216)=0,COUNT(F216)=0),"",1000*F216/E216)</x:f>
        <x:v>100</x:v>
      </x:c>
      <x:c r="J216" s="13" t="str">
        <x:f t="shared" si="6">IF(OR(COUNT(H216)=0,COUNT(I216)=0),"",IF(H216&lt;=I216,"YES","no"))</x:f>
        <x:v>no</x:v>
      </x:c>
      <x:c r="K216" s="10" t="n">
        <x:f t="shared" si="7">IF(OR(COUNT(H216)=0,COUNT(I216)=0),"",LOG10(MAX(H216,I216)))</x:f>
        <x:v>2.60205999132796</x:v>
      </x:c>
    </x:row>
    <x:row r="217">
      <x:c r="A217" s="6" t="s">
        <x:v>95</x:v>
      </x:c>
      <x:c r="B217" s="6">
        <x:v>10</x:v>
      </x:c>
      <x:c r="C217" s="6">
        <x:v>3</x:v>
      </x:c>
      <x:c r="D217" s="6">
        <x:v>24</x:v>
      </x:c>
      <x:c r="E217" s="6">
        <x:v>100</x:v>
      </x:c>
      <x:c r="F217" s="6" t="n">
        <x:v>1</x:v>
      </x:c>
      <x:c r="G217" s="6" t="n">
        <x:v>0</x:v>
      </x:c>
      <x:c r="H217" s="10" t="n">
        <x:f>IF(OR(COUNT(G217)=0,COUNT(E217)=0,COUNT(F217)=0),"",G217*F217*1000/E217)</x:f>
        <x:v>0</x:v>
      </x:c>
      <x:c r="I217" s="10" t="n">
        <x:f>IF(OR(COUNT(E217)=0,COUNT(F217)=0),"",1000*F217/E217)</x:f>
        <x:v>10</x:v>
      </x:c>
      <x:c r="J217" s="13" t="str">
        <x:f t="shared" si="6">IF(OR(COUNT(H217)=0,COUNT(I217)=0),"",IF(H217&lt;=I217,"YES","no"))</x:f>
        <x:v>YES</x:v>
      </x:c>
      <x:c r="K217" s="10" t="n">
        <x:f t="shared" si="7">IF(OR(COUNT(H217)=0,COUNT(I217)=0),"",LOG10(MAX(H217,I217)))</x:f>
        <x:v>1</x:v>
      </x:c>
    </x:row>
    <x:row r="218">
      <x:c r="A218" s="6" t="s">
        <x:v>95</x:v>
      </x:c>
      <x:c r="B218" s="6">
        <x:v>10</x:v>
      </x:c>
      <x:c r="C218" s="6">
        <x:v>3</x:v>
      </x:c>
      <x:c r="D218" s="6">
        <x:v>24</x:v>
      </x:c>
      <x:c r="E218" s="6">
        <x:v>100</x:v>
      </x:c>
      <x:c r="F218" s="6" t="n">
        <x:v>1</x:v>
      </x:c>
      <x:c r="G218" s="6" t="n">
        <x:v>0</x:v>
      </x:c>
      <x:c r="H218" s="10" t="n">
        <x:f>IF(OR(COUNT(G218)=0,COUNT(E218)=0,COUNT(F218)=0),"",G218*F218*1000/E218)</x:f>
        <x:v>0</x:v>
      </x:c>
      <x:c r="I218" s="10" t="n">
        <x:f>IF(OR(COUNT(E218)=0,COUNT(F218)=0),"",1000*F218/E218)</x:f>
        <x:v>10</x:v>
      </x:c>
      <x:c r="J218" s="13" t="str">
        <x:f t="shared" si="6">IF(OR(COUNT(H218)=0,COUNT(I218)=0),"",IF(H218&lt;=I218,"YES","no"))</x:f>
        <x:v>YES</x:v>
      </x:c>
      <x:c r="K218" s="10" t="n">
        <x:f t="shared" si="7">IF(OR(COUNT(H218)=0,COUNT(I218)=0),"",LOG10(MAX(H218,I218)))</x:f>
        <x:v>1</x:v>
      </x:c>
    </x:row>
    <x:row r="219">
      <x:c r="A219" s="6" t="s">
        <x:v>95</x:v>
      </x:c>
      <x:c r="B219" s="6">
        <x:v>10</x:v>
      </x:c>
      <x:c r="C219" s="6">
        <x:v>3</x:v>
      </x:c>
      <x:c r="D219" s="6">
        <x:v>24</x:v>
      </x:c>
      <x:c r="E219" s="6">
        <x:v>10</x:v>
      </x:c>
      <x:c r="F219" s="6" t="n">
        <x:v>1</x:v>
      </x:c>
      <x:c r="G219" s="6" t="n">
        <x:v>0</x:v>
      </x:c>
      <x:c r="H219" s="10" t="n">
        <x:f>IF(OR(COUNT(G219)=0,COUNT(E219)=0,COUNT(F219)=0),"",G219*F219*1000/E219)</x:f>
        <x:v>0</x:v>
      </x:c>
      <x:c r="I219" s="10" t="n">
        <x:f>IF(OR(COUNT(E219)=0,COUNT(F219)=0),"",1000*F219/E219)</x:f>
        <x:v>100</x:v>
      </x:c>
      <x:c r="J219" s="13" t="str">
        <x:f t="shared" si="6">IF(OR(COUNT(H219)=0,COUNT(I219)=0),"",IF(H219&lt;=I219,"YES","no"))</x:f>
        <x:v>YES</x:v>
      </x:c>
      <x:c r="K219" s="10" t="n">
        <x:f t="shared" si="7">IF(OR(COUNT(H219)=0,COUNT(I219)=0),"",LOG10(MAX(H219,I219)))</x:f>
        <x:v>2</x:v>
      </x:c>
    </x:row>
    <x:row r="220">
      <x:c r="A220" s="6" t="s">
        <x:v>95</x:v>
      </x:c>
      <x:c r="B220" s="6">
        <x:v>10</x:v>
      </x:c>
      <x:c r="C220" s="6">
        <x:v>3</x:v>
      </x:c>
      <x:c r="D220" s="6">
        <x:v>24</x:v>
      </x:c>
      <x:c r="E220" s="6">
        <x:v>10</x:v>
      </x:c>
      <x:c r="F220" s="6" t="n">
        <x:v>1</x:v>
      </x:c>
      <x:c r="G220" s="6" t="n">
        <x:v>0</x:v>
      </x:c>
      <x:c r="H220" s="10" t="n">
        <x:f>IF(OR(COUNT(G220)=0,COUNT(E220)=0,COUNT(F220)=0),"",G220*F220*1000/E220)</x:f>
        <x:v>0</x:v>
      </x:c>
      <x:c r="I220" s="10" t="n">
        <x:f>IF(OR(COUNT(E220)=0,COUNT(F220)=0),"",1000*F220/E220)</x:f>
        <x:v>100</x:v>
      </x:c>
      <x:c r="J220" s="13" t="str">
        <x:f t="shared" si="6">IF(OR(COUNT(H220)=0,COUNT(I220)=0),"",IF(H220&lt;=I220,"YES","no"))</x:f>
        <x:v>YES</x:v>
      </x:c>
      <x:c r="K220" s="10" t="n">
        <x:f t="shared" si="7">IF(OR(COUNT(H220)=0,COUNT(I220)=0),"",LOG10(MAX(H220,I220)))</x:f>
        <x:v>2</x:v>
      </x:c>
    </x:row>
    <x:row r="221">
      <x:c r="A221" s="16"/>
      <x:c r="B221" s="16"/>
      <x:c r="C221" s="16"/>
      <x:c r="D221" s="16"/>
      <x:c r="E221" s="16"/>
      <x:c r="F221" s="16"/>
      <x:c r="G221" s="16"/>
      <x:c r="H221" s="10" t="str">
        <x:f>IF(OR(G221="",E221="",F221=""),"",G221*F221*1000/E221)</x:f>
      </x:c>
      <x:c r="I221" s="10" t="str">
        <x:f>IF(E221="","",1000/E221)</x:f>
      </x:c>
      <x:c r="J221" s="13" t="str">
        <x:f t="shared" ref="J221:J244" si="8">IF(OR(H221="",I221=""),"",IF(H221&lt;=I221,"YES","no"))</x:f>
      </x:c>
      <x:c r="K221" s="10" t="str">
        <x:f t="shared" ref="K221:K244" si="9">IF(OR(H221="",H221&lt;=0),"",LOG10(H221))</x:f>
      </x:c>
    </x:row>
    <x:row r="222">
      <x:c r="A222" s="16"/>
      <x:c r="B222" s="16"/>
      <x:c r="C222" s="16"/>
      <x:c r="D222" s="16"/>
      <x:c r="E222" s="16"/>
      <x:c r="F222" s="16"/>
      <x:c r="G222" s="16"/>
      <x:c r="H222" s="10" t="str">
        <x:f>IF(OR(G222="",E222="",F222=""),"",G222*F222*1000/E222)</x:f>
      </x:c>
      <x:c r="I222" s="10" t="str">
        <x:f>IF(E222="","",1000/E222)</x:f>
      </x:c>
      <x:c r="J222" s="13" t="str">
        <x:f t="shared" si="8"/>
      </x:c>
      <x:c r="K222" s="10" t="str">
        <x:f t="shared" si="9"/>
      </x:c>
    </x:row>
    <x:row r="223">
      <x:c r="A223" s="16"/>
      <x:c r="B223" s="16"/>
      <x:c r="C223" s="16"/>
      <x:c r="D223" s="16"/>
      <x:c r="E223" s="16"/>
      <x:c r="F223" s="16"/>
      <x:c r="G223" s="16"/>
      <x:c r="H223" s="10" t="str">
        <x:f>IF(OR(G223="",E223="",F223=""),"",G223*F223*1000/E223)</x:f>
      </x:c>
      <x:c r="I223" s="10" t="str">
        <x:f>IF(E223="","",1000/E223)</x:f>
      </x:c>
      <x:c r="J223" s="13" t="str">
        <x:f t="shared" si="8"/>
      </x:c>
      <x:c r="K223" s="10" t="str">
        <x:f t="shared" si="9"/>
      </x:c>
    </x:row>
    <x:row r="224">
      <x:c r="A224" s="16"/>
      <x:c r="B224" s="16"/>
      <x:c r="C224" s="16"/>
      <x:c r="D224" s="16"/>
      <x:c r="E224" s="16"/>
      <x:c r="F224" s="16"/>
      <x:c r="G224" s="16"/>
      <x:c r="H224" s="10" t="str">
        <x:f>IF(OR(G224="",E224="",F224=""),"",G224*F224*1000/E224)</x:f>
      </x:c>
      <x:c r="I224" s="10" t="str">
        <x:f>IF(E224="","",1000/E224)</x:f>
      </x:c>
      <x:c r="J224" s="13" t="str">
        <x:f t="shared" si="8"/>
      </x:c>
      <x:c r="K224" s="10" t="str">
        <x:f t="shared" si="9"/>
      </x:c>
    </x:row>
    <x:row r="225">
      <x:c r="A225" s="16"/>
      <x:c r="B225" s="16"/>
      <x:c r="C225" s="16"/>
      <x:c r="D225" s="16"/>
      <x:c r="E225" s="16"/>
      <x:c r="F225" s="16"/>
      <x:c r="G225" s="16"/>
      <x:c r="H225" s="10" t="str">
        <x:f>IF(OR(G225="",E225="",F225=""),"",G225*F225*1000/E225)</x:f>
      </x:c>
      <x:c r="I225" s="10" t="str">
        <x:f>IF(E225="","",1000/E225)</x:f>
      </x:c>
      <x:c r="J225" s="13" t="str">
        <x:f t="shared" si="8"/>
      </x:c>
      <x:c r="K225" s="10" t="str">
        <x:f t="shared" si="9"/>
      </x:c>
    </x:row>
    <x:row r="226">
      <x:c r="A226" s="16"/>
      <x:c r="B226" s="16"/>
      <x:c r="C226" s="16"/>
      <x:c r="D226" s="16"/>
      <x:c r="E226" s="16"/>
      <x:c r="F226" s="16"/>
      <x:c r="G226" s="16"/>
      <x:c r="H226" s="10" t="str">
        <x:f>IF(OR(G226="",E226="",F226=""),"",G226*F226*1000/E226)</x:f>
      </x:c>
      <x:c r="I226" s="10" t="str">
        <x:f>IF(E226="","",1000/E226)</x:f>
      </x:c>
      <x:c r="J226" s="13" t="str">
        <x:f t="shared" si="8"/>
      </x:c>
      <x:c r="K226" s="10" t="str">
        <x:f t="shared" si="9"/>
      </x:c>
    </x:row>
    <x:row r="227">
      <x:c r="A227" s="16"/>
      <x:c r="B227" s="16"/>
      <x:c r="C227" s="16"/>
      <x:c r="D227" s="16"/>
      <x:c r="E227" s="16"/>
      <x:c r="F227" s="16"/>
      <x:c r="G227" s="16"/>
      <x:c r="H227" s="10" t="str">
        <x:f>IF(OR(G227="",E227="",F227=""),"",G227*F227*1000/E227)</x:f>
      </x:c>
      <x:c r="I227" s="10" t="str">
        <x:f>IF(E227="","",1000/E227)</x:f>
      </x:c>
      <x:c r="J227" s="13" t="str">
        <x:f t="shared" si="8"/>
      </x:c>
      <x:c r="K227" s="10" t="str">
        <x:f t="shared" si="9"/>
      </x:c>
    </x:row>
    <x:row r="228">
      <x:c r="A228" s="16"/>
      <x:c r="B228" s="16"/>
      <x:c r="C228" s="16"/>
      <x:c r="D228" s="16"/>
      <x:c r="E228" s="16"/>
      <x:c r="F228" s="16"/>
      <x:c r="G228" s="16"/>
      <x:c r="H228" s="10" t="str">
        <x:f>IF(OR(G228="",E228="",F228=""),"",G228*F228*1000/E228)</x:f>
      </x:c>
      <x:c r="I228" s="10" t="str">
        <x:f>IF(E228="","",1000/E228)</x:f>
      </x:c>
      <x:c r="J228" s="13" t="str">
        <x:f t="shared" si="8"/>
      </x:c>
      <x:c r="K228" s="10" t="str">
        <x:f t="shared" si="9"/>
      </x:c>
    </x:row>
    <x:row r="229">
      <x:c r="A229" s="16"/>
      <x:c r="B229" s="16"/>
      <x:c r="C229" s="16"/>
      <x:c r="D229" s="16"/>
      <x:c r="E229" s="16"/>
      <x:c r="F229" s="16"/>
      <x:c r="G229" s="16"/>
      <x:c r="H229" s="10" t="str">
        <x:f>IF(OR(G229="",E229="",F229=""),"",G229*F229*1000/E229)</x:f>
      </x:c>
      <x:c r="I229" s="10" t="str">
        <x:f>IF(E229="","",1000/E229)</x:f>
      </x:c>
      <x:c r="J229" s="13" t="str">
        <x:f t="shared" si="8"/>
      </x:c>
      <x:c r="K229" s="10" t="str">
        <x:f t="shared" si="9"/>
      </x:c>
    </x:row>
    <x:row r="230">
      <x:c r="A230" s="16"/>
      <x:c r="B230" s="16"/>
      <x:c r="C230" s="16"/>
      <x:c r="D230" s="16"/>
      <x:c r="E230" s="16"/>
      <x:c r="F230" s="16"/>
      <x:c r="G230" s="16"/>
      <x:c r="H230" s="10" t="str">
        <x:f>IF(OR(G230="",E230="",F230=""),"",G230*F230*1000/E230)</x:f>
      </x:c>
      <x:c r="I230" s="10" t="str">
        <x:f>IF(E230="","",1000/E230)</x:f>
      </x:c>
      <x:c r="J230" s="13" t="str">
        <x:f t="shared" si="8"/>
      </x:c>
      <x:c r="K230" s="10" t="str">
        <x:f t="shared" si="9"/>
      </x:c>
    </x:row>
    <x:row r="231">
      <x:c r="A231" s="16"/>
      <x:c r="B231" s="16"/>
      <x:c r="C231" s="16"/>
      <x:c r="D231" s="16"/>
      <x:c r="E231" s="16"/>
      <x:c r="F231" s="16"/>
      <x:c r="G231" s="16"/>
      <x:c r="H231" s="10" t="str">
        <x:f>IF(OR(G231="",E231="",F231=""),"",G231*F231*1000/E231)</x:f>
      </x:c>
      <x:c r="I231" s="10" t="str">
        <x:f>IF(E231="","",1000/E231)</x:f>
      </x:c>
      <x:c r="J231" s="13" t="str">
        <x:f t="shared" si="8"/>
      </x:c>
      <x:c r="K231" s="10" t="str">
        <x:f t="shared" si="9"/>
      </x:c>
    </x:row>
    <x:row r="232">
      <x:c r="A232" s="16"/>
      <x:c r="B232" s="16"/>
      <x:c r="C232" s="16"/>
      <x:c r="D232" s="16"/>
      <x:c r="E232" s="16"/>
      <x:c r="F232" s="16"/>
      <x:c r="G232" s="16"/>
      <x:c r="H232" s="10" t="str">
        <x:f>IF(OR(G232="",E232="",F232=""),"",G232*F232*1000/E232)</x:f>
      </x:c>
      <x:c r="I232" s="10" t="str">
        <x:f>IF(E232="","",1000/E232)</x:f>
      </x:c>
      <x:c r="J232" s="13" t="str">
        <x:f t="shared" si="8"/>
      </x:c>
      <x:c r="K232" s="10" t="str">
        <x:f t="shared" si="9"/>
      </x:c>
    </x:row>
    <x:row r="233">
      <x:c r="A233" s="16"/>
      <x:c r="B233" s="16"/>
      <x:c r="C233" s="16"/>
      <x:c r="D233" s="16"/>
      <x:c r="E233" s="16"/>
      <x:c r="F233" s="16"/>
      <x:c r="G233" s="16"/>
      <x:c r="H233" s="10" t="str">
        <x:f>IF(OR(G233="",E233="",F233=""),"",G233*F233*1000/E233)</x:f>
      </x:c>
      <x:c r="I233" s="10" t="str">
        <x:f>IF(E233="","",1000/E233)</x:f>
      </x:c>
      <x:c r="J233" s="13" t="str">
        <x:f t="shared" si="8"/>
      </x:c>
      <x:c r="K233" s="10" t="str">
        <x:f t="shared" si="9"/>
      </x:c>
    </x:row>
    <x:row r="234">
      <x:c r="A234" s="16"/>
      <x:c r="B234" s="16"/>
      <x:c r="C234" s="16"/>
      <x:c r="D234" s="16"/>
      <x:c r="E234" s="16"/>
      <x:c r="F234" s="16"/>
      <x:c r="G234" s="16"/>
      <x:c r="H234" s="10" t="str">
        <x:f>IF(OR(G234="",E234="",F234=""),"",G234*F234*1000/E234)</x:f>
      </x:c>
      <x:c r="I234" s="10" t="str">
        <x:f>IF(E234="","",1000/E234)</x:f>
      </x:c>
      <x:c r="J234" s="13" t="str">
        <x:f t="shared" si="8"/>
      </x:c>
      <x:c r="K234" s="10" t="str">
        <x:f t="shared" si="9"/>
      </x:c>
    </x:row>
    <x:row r="235">
      <x:c r="A235" s="16"/>
      <x:c r="B235" s="16"/>
      <x:c r="C235" s="16"/>
      <x:c r="D235" s="16"/>
      <x:c r="E235" s="16"/>
      <x:c r="F235" s="16"/>
      <x:c r="G235" s="16"/>
      <x:c r="H235" s="10" t="str">
        <x:f>IF(OR(G235="",E235="",F235=""),"",G235*F235*1000/E235)</x:f>
      </x:c>
      <x:c r="I235" s="10" t="str">
        <x:f>IF(E235="","",1000/E235)</x:f>
      </x:c>
      <x:c r="J235" s="13" t="str">
        <x:f t="shared" si="8"/>
      </x:c>
      <x:c r="K235" s="10" t="str">
        <x:f t="shared" si="9"/>
      </x:c>
    </x:row>
    <x:row r="236">
      <x:c r="A236" s="16"/>
      <x:c r="B236" s="16"/>
      <x:c r="C236" s="16"/>
      <x:c r="D236" s="16"/>
      <x:c r="E236" s="16"/>
      <x:c r="F236" s="16"/>
      <x:c r="G236" s="16"/>
      <x:c r="H236" s="10" t="str">
        <x:f>IF(OR(G236="",E236="",F236=""),"",G236*F236*1000/E236)</x:f>
      </x:c>
      <x:c r="I236" s="10" t="str">
        <x:f>IF(E236="","",1000/E236)</x:f>
      </x:c>
      <x:c r="J236" s="13" t="str">
        <x:f t="shared" si="8"/>
      </x:c>
      <x:c r="K236" s="10" t="str">
        <x:f t="shared" si="9"/>
      </x:c>
    </x:row>
    <x:row r="237">
      <x:c r="A237" s="16"/>
      <x:c r="B237" s="16"/>
      <x:c r="C237" s="16"/>
      <x:c r="D237" s="16"/>
      <x:c r="E237" s="16"/>
      <x:c r="F237" s="16"/>
      <x:c r="G237" s="16"/>
      <x:c r="H237" s="10" t="str">
        <x:f>IF(OR(G237="",E237="",F237=""),"",G237*F237*1000/E237)</x:f>
      </x:c>
      <x:c r="I237" s="10" t="str">
        <x:f>IF(E237="","",1000/E237)</x:f>
      </x:c>
      <x:c r="J237" s="13" t="str">
        <x:f t="shared" si="8"/>
      </x:c>
      <x:c r="K237" s="10" t="str">
        <x:f t="shared" si="9"/>
      </x:c>
    </x:row>
    <x:row r="238">
      <x:c r="A238" s="16"/>
      <x:c r="B238" s="16"/>
      <x:c r="C238" s="16"/>
      <x:c r="D238" s="16"/>
      <x:c r="E238" s="16"/>
      <x:c r="F238" s="16"/>
      <x:c r="G238" s="16"/>
      <x:c r="H238" s="10" t="str">
        <x:f>IF(OR(G238="",E238="",F238=""),"",G238*F238*1000/E238)</x:f>
      </x:c>
      <x:c r="I238" s="10" t="str">
        <x:f>IF(E238="","",1000/E238)</x:f>
      </x:c>
      <x:c r="J238" s="13" t="str">
        <x:f t="shared" si="8"/>
      </x:c>
      <x:c r="K238" s="10" t="str">
        <x:f t="shared" si="9"/>
      </x:c>
    </x:row>
    <x:row r="239">
      <x:c r="A239" s="16"/>
      <x:c r="B239" s="16"/>
      <x:c r="C239" s="16"/>
      <x:c r="D239" s="16"/>
      <x:c r="E239" s="16"/>
      <x:c r="F239" s="16"/>
      <x:c r="G239" s="16"/>
      <x:c r="H239" s="10" t="str">
        <x:f>IF(OR(G239="",E239="",F239=""),"",G239*F239*1000/E239)</x:f>
      </x:c>
      <x:c r="I239" s="10" t="str">
        <x:f>IF(E239="","",1000/E239)</x:f>
      </x:c>
      <x:c r="J239" s="13" t="str">
        <x:f t="shared" si="8"/>
      </x:c>
      <x:c r="K239" s="10" t="str">
        <x:f t="shared" si="9"/>
      </x:c>
    </x:row>
    <x:row r="240">
      <x:c r="A240" s="16"/>
      <x:c r="B240" s="16"/>
      <x:c r="C240" s="16"/>
      <x:c r="D240" s="16"/>
      <x:c r="E240" s="16"/>
      <x:c r="F240" s="16"/>
      <x:c r="G240" s="16"/>
      <x:c r="H240" s="10" t="str">
        <x:f>IF(OR(G240="",E240="",F240=""),"",G240*F240*1000/E240)</x:f>
      </x:c>
      <x:c r="I240" s="10" t="str">
        <x:f>IF(E240="","",1000/E240)</x:f>
      </x:c>
      <x:c r="J240" s="13" t="str">
        <x:f t="shared" si="8"/>
      </x:c>
      <x:c r="K240" s="10" t="str">
        <x:f t="shared" si="9"/>
      </x:c>
    </x:row>
    <x:row r="241">
      <x:c r="A241" s="16"/>
      <x:c r="B241" s="16"/>
      <x:c r="C241" s="16"/>
      <x:c r="D241" s="16"/>
      <x:c r="E241" s="16"/>
      <x:c r="F241" s="16"/>
      <x:c r="G241" s="16"/>
      <x:c r="H241" s="10" t="str">
        <x:f>IF(OR(G241="",E241="",F241=""),"",G241*F241*1000/E241)</x:f>
      </x:c>
      <x:c r="I241" s="10" t="str">
        <x:f>IF(E241="","",1000/E241)</x:f>
      </x:c>
      <x:c r="J241" s="13" t="str">
        <x:f t="shared" si="8"/>
      </x:c>
      <x:c r="K241" s="10" t="str">
        <x:f t="shared" si="9"/>
      </x:c>
    </x:row>
    <x:row r="242">
      <x:c r="A242" s="16"/>
      <x:c r="B242" s="16"/>
      <x:c r="C242" s="16"/>
      <x:c r="D242" s="16"/>
      <x:c r="E242" s="16"/>
      <x:c r="F242" s="16"/>
      <x:c r="G242" s="16"/>
      <x:c r="H242" s="10" t="str">
        <x:f>IF(OR(G242="",E242="",F242=""),"",G242*F242*1000/E242)</x:f>
      </x:c>
      <x:c r="I242" s="10" t="str">
        <x:f>IF(E242="","",1000/E242)</x:f>
      </x:c>
      <x:c r="J242" s="13" t="str">
        <x:f t="shared" si="8"/>
      </x:c>
      <x:c r="K242" s="10" t="str">
        <x:f t="shared" si="9"/>
      </x:c>
    </x:row>
    <x:row r="243">
      <x:c r="A243" s="16"/>
      <x:c r="B243" s="16"/>
      <x:c r="C243" s="16"/>
      <x:c r="D243" s="16"/>
      <x:c r="E243" s="16"/>
      <x:c r="F243" s="16"/>
      <x:c r="G243" s="16"/>
      <x:c r="H243" s="10" t="str">
        <x:f>IF(OR(G243="",E243="",F243=""),"",G243*F243*1000/E243)</x:f>
      </x:c>
      <x:c r="I243" s="10" t="str">
        <x:f>IF(E243="","",1000/E243)</x:f>
      </x:c>
      <x:c r="J243" s="13" t="str">
        <x:f t="shared" si="8"/>
      </x:c>
      <x:c r="K243" s="10" t="str">
        <x:f t="shared" si="9"/>
      </x:c>
    </x:row>
    <x:row r="244">
      <x:c r="A244" s="16"/>
      <x:c r="B244" s="16"/>
      <x:c r="C244" s="16"/>
      <x:c r="D244" s="16"/>
      <x:c r="E244" s="16"/>
      <x:c r="F244" s="16"/>
      <x:c r="G244" s="16"/>
      <x:c r="H244" s="10" t="str">
        <x:f>IF(OR(G244="",E244="",F244=""),"",G244*F244*1000/E244)</x:f>
      </x:c>
      <x:c r="I244" s="10" t="str">
        <x:f>IF(E244="","",1000/E244)</x:f>
      </x:c>
      <x:c r="J244" s="13" t="str">
        <x:f t="shared" si="8"/>
      </x:c>
      <x:c r="K244" s="10" t="str">
        <x:f t="shared" si="9"/>
      </x:c>
    </x:row>
  </x:sheetData>
  <x:mergeCells>
    <x:mergeCell ref="A2:K2"/>
  </x:mergeCells>
  <x:dataValidations count="2">
    <x:dataValidation type="list" allowBlank="1" sqref="A5:A244">
      <x:formula1>"LOW,MID,HIGH,untreated"</x:formula1>
    </x:dataValidation>
    <x:dataValidation type="list" allowBlank="1" sqref="E5:E244">
      <x:formula1>"100,10"</x:formula1>
    </x:dataValidation>
  </x:dataValidations>
  <x:pageMargins left="0.7" right="0.7" top="0.75" bottom="0.75" header="0.3" footer="0.3"/>
</x:worksheet>
</file>

<file path=xl/worksheets/sheet5.xml><?xml version="1.0" encoding="utf-8"?>
<x:worksheet xmlns:x="http://schemas.openxmlformats.org/spreadsheetml/2006/main">
  <x:sheetFormatPr defaultRowHeight="14.5"/>
  <x:cols>
    <x:col min="1" max="1" width="12" customWidth="1"/>
    <x:col min="2" max="2" width="20" customWidth="1"/>
    <x:col min="3" max="3" width="26" customWidth="1"/>
    <x:col min="4" max="4" width="14" customWidth="1"/>
    <x:col min="5" max="6" width="24" customWidth="1"/>
  </x:cols>
  <x:sheetData>
    <x:row r="1" ht="18.5">
      <x:c r="A1" s="1" t="s">
        <x:v>119</x:v>
      </x:c>
    </x:row>
    <x:row r="2">
      <x:c r="A2" s="18" t="s">
        <x:v>120</x:v>
      </x:c>
      <x:c r="B2" s="19"/>
      <x:c r="C2" s="19"/>
      <x:c r="D2" s="19"/>
      <x:c r="E2" s="19"/>
      <x:c r="F2" s="19"/>
    </x:row>
    <x:row r="4" ht="20" customHeight="1">
      <x:c r="A4" s="4" t="s">
        <x:v>121</x:v>
      </x:c>
      <x:c r="B4" s="4" t="s">
        <x:v>122</x:v>
      </x:c>
      <x:c r="C4" s="4" t="s">
        <x:v>123</x:v>
      </x:c>
      <x:c r="D4" s="4" t="s">
        <x:v>124</x:v>
      </x:c>
      <x:c r="E4" s="4" t="s">
        <x:v>125</x:v>
      </x:c>
      <x:c r="F4" s="4" t="s">
        <x:v>126</x:v>
      </x:c>
    </x:row>
    <x:row r="5">
      <x:c r="A5" s="5" t="s">
        <x:v>93</x:v>
      </x:c>
      <x:c r="B5" s="6" t="str">
        <x:f>Design!B15</x:f>
        <x:v>50000</x:v>
      </x:c>
      <x:c r="C5" s="17" t="n">
        <x:f>AVERAGE(Counts!H5:H8,Counts!H29:H32,Counts!H53:H56)</x:f>
        <x:v>56500</x:v>
      </x:c>
      <x:c r="D5" s="10" t="n">
        <x:f>IF(OR(B5="",C5=""),"",C5/B5)</x:f>
        <x:v>1.13</x:v>
      </x:c>
      <x:c r="E5" s="10" t="n">
        <x:f>IF(C5="","",LOG10(C5/10))</x:f>
        <x:v>3.75204844781944</x:v>
      </x:c>
      <x:c r="F5" s="13" t="str">
        <x:f>IF(E5="","",IF(E5&gt;=4,"yes","NO — cannot report it"))</x:f>
        <x:v>NO — cannot report it</x:v>
      </x:c>
    </x:row>
    <x:row r="6">
      <x:c r="A6" s="5" t="s">
        <x:v>94</x:v>
      </x:c>
      <x:c r="B6" s="6" t="str">
        <x:f>Design!B16</x:f>
        <x:v>500000</x:v>
      </x:c>
      <x:c r="C6" s="17" t="n">
        <x:f>AVERAGE(Counts!H77:H80,Counts!H101:H104,Counts!H125:H128)</x:f>
        <x:v>390000</x:v>
      </x:c>
      <x:c r="D6" s="10" t="n">
        <x:f>IF(OR(B6="",C6=""),"",C6/B6)</x:f>
        <x:v>0.78</x:v>
      </x:c>
      <x:c r="E6" s="10" t="n">
        <x:f>IF(C6="","",LOG10(C6/10))</x:f>
        <x:v>4.5910646070265</x:v>
      </x:c>
      <x:c r="F6" s="13" t="str">
        <x:f>IF(E6="","",IF(E6&gt;=4,"yes","NO — cannot report it"))</x:f>
        <x:v>yes</x:v>
      </x:c>
    </x:row>
    <x:row r="7">
      <x:c r="A7" s="5" t="s">
        <x:v>95</x:v>
      </x:c>
      <x:c r="B7" s="6" t="str">
        <x:f>Design!B17</x:f>
        <x:v>5000000</x:v>
      </x:c>
      <x:c r="C7" s="17" t="n">
        <x:f>AVERAGE(Counts!H149:H152,Counts!H173:H176,Counts!H197:H200)</x:f>
        <x:v>3966666.6666666665</x:v>
      </x:c>
      <x:c r="D7" s="10" t="n">
        <x:f>IF(OR(B7="",C7=""),"",C7/B7)</x:f>
        <x:v>0.7933333333333333</x:v>
      </x:c>
      <x:c r="E7" s="10" t="n">
        <x:f>IF(C7="","",LOG10(C7/10))</x:f>
        <x:v>5.59842570667287</x:v>
      </x:c>
      <x:c r="F7" s="13" t="str">
        <x:f>IF(E7="","",IF(E7&gt;=4,"yes","NO — cannot report it"))</x:f>
        <x:v>yes</x:v>
      </x:c>
    </x:row>
    <x:row r="10">
      <x:c r="A10" s="18" t="s">
        <x:v>127</x:v>
      </x:c>
      <x:c r="B10" s="19"/>
      <x:c r="C10" s="19"/>
      <x:c r="D10" s="19"/>
      <x:c r="E10" s="19"/>
      <x:c r="F10" s="19"/>
    </x:row>
  </x:sheetData>
  <x:mergeCells>
    <x:mergeCell ref="A2:F2"/>
    <x:mergeCell ref="A10:F10"/>
  </x:mergeCells>
  <x:pageMargins left="0.7" right="0.7" top="0.75" bottom="0.75" header="0.3" footer="0.3"/>
</x:worksheet>
</file>